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00_SW\_PCM_internal\Reference_sheets\Templates_Scripts\"/>
    </mc:Choice>
  </mc:AlternateContent>
  <xr:revisionPtr revIDLastSave="0" documentId="13_ncr:1_{0E7B30A1-A23F-4415-B01B-FEBF614513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L" sheetId="4" r:id="rId1"/>
    <sheet name="History" sheetId="6" r:id="rId2"/>
    <sheet name="Template_History" sheetId="5" r:id="rId3"/>
  </sheets>
  <externalReferences>
    <externalReference r:id="rId4"/>
  </externalReferences>
  <definedNames>
    <definedName name="_xlnm.Print_Area" localSheetId="0">SPL!$A$1:$J$89</definedName>
    <definedName name="Text156" localSheetId="0">SPL!#REF!</definedName>
    <definedName name="Text159" localSheetId="0">SPL!#REF!</definedName>
    <definedName name="Text163" localSheetId="0">SPL!#REF!</definedName>
    <definedName name="Text164" localSheetId="0">SPL!#REF!</definedName>
    <definedName name="Text185" localSheetId="0">SPL!#REF!</definedName>
    <definedName name="Text194" localSheetId="0">SPL!#REF!</definedName>
    <definedName name="Text196" localSheetId="0">SPL!#REF!</definedName>
    <definedName name="Text34" localSheetId="0">SPL!#REF!</definedName>
    <definedName name="Text35" localSheetId="0">SPL!#REF!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4" l="1"/>
  <c r="H2" i="4"/>
  <c r="G2" i="4"/>
  <c r="D4" i="5" l="1"/>
  <c r="F4" i="5" s="1"/>
  <c r="B3" i="5"/>
  <c r="E4" i="5" l="1"/>
</calcChain>
</file>

<file path=xl/sharedStrings.xml><?xml version="1.0" encoding="utf-8"?>
<sst xmlns="http://schemas.openxmlformats.org/spreadsheetml/2006/main" count="547" uniqueCount="194">
  <si>
    <t>Remarks</t>
  </si>
  <si>
    <t>Electrical parts list</t>
  </si>
  <si>
    <t>Position</t>
  </si>
  <si>
    <t>Description of programmed device</t>
  </si>
  <si>
    <t>General Description of device</t>
  </si>
  <si>
    <t>Image SW
Part No.</t>
  </si>
  <si>
    <t>Image SW Filename</t>
  </si>
  <si>
    <t>Manufacturer</t>
  </si>
  <si>
    <t>Indication shown on device</t>
  </si>
  <si>
    <t>Memory size</t>
  </si>
  <si>
    <t>Package</t>
  </si>
  <si>
    <t>Blank device
Part No.</t>
  </si>
  <si>
    <t>Programmed device Part No.</t>
  </si>
  <si>
    <t>Status</t>
  </si>
  <si>
    <t>Version</t>
  </si>
  <si>
    <t>Date</t>
  </si>
  <si>
    <t>pre. assembly programming</t>
  </si>
  <si>
    <t>Item</t>
  </si>
  <si>
    <t>Name</t>
  </si>
  <si>
    <t>draft</t>
  </si>
  <si>
    <t>Description</t>
  </si>
  <si>
    <t>Change history SPL template</t>
  </si>
  <si>
    <t>J. Kräft</t>
  </si>
  <si>
    <t>Automated creation</t>
  </si>
  <si>
    <t>01.00_d01</t>
  </si>
  <si>
    <t>Change history</t>
  </si>
  <si>
    <t>(based on Template Tmpl_SPL_V01.00_d02.xlsx)</t>
  </si>
  <si>
    <t>latest History:</t>
  </si>
  <si>
    <t>Samsung</t>
  </si>
  <si>
    <t>programmed to assembled device</t>
  </si>
  <si>
    <t>128GB</t>
  </si>
  <si>
    <t>Draft for first delivery in A-IVI2</t>
  </si>
  <si>
    <t>01.00_d02</t>
  </si>
  <si>
    <t>Template</t>
  </si>
  <si>
    <t>SPL</t>
  </si>
  <si>
    <t>Updated eMMC, Teseo, ADR, Hyperflash, CPLD</t>
  </si>
  <si>
    <t>01.00_d03</t>
  </si>
  <si>
    <t>Updated CPLD-IDs, added ESW Ics (for Ethernet switch)</t>
  </si>
  <si>
    <t>01.00_d04</t>
  </si>
  <si>
    <t>AFR</t>
  </si>
  <si>
    <t>Replaced Teseo IC Winbond by new blank dev. 8611200597</t>
  </si>
  <si>
    <t>01.00_d05</t>
  </si>
  <si>
    <t>01.00_d06</t>
  </si>
  <si>
    <t>Corrected position of Hyper flash</t>
  </si>
  <si>
    <t>01.00_d07</t>
  </si>
  <si>
    <t>01.00_d08</t>
  </si>
  <si>
    <t>Praveen</t>
  </si>
  <si>
    <t>Corrected package description for ESW_C (8611.200.226)</t>
  </si>
  <si>
    <t>Corrected package descr. (SO 8) for Teseo devices</t>
  </si>
  <si>
    <t>01.00_d09</t>
  </si>
  <si>
    <t>Corrected Blank device Part no. of eMMC</t>
  </si>
  <si>
    <t>Macronix</t>
  </si>
  <si>
    <t>01.00_d10</t>
  </si>
  <si>
    <t>Added ESW_M ICs (for Ethernet switch)</t>
  </si>
  <si>
    <t>Added ESW_C ICs (for Ethernet switch)</t>
  </si>
  <si>
    <t>01.00_d11</t>
  </si>
  <si>
    <t xml:space="preserve">SO 8 WIDE </t>
  </si>
  <si>
    <t>Added new Samsung eMMCs (16, 32, 64, 128GByte - eMMC_SxxA), Teseo collective blank device part no. (T3_COL_10)</t>
  </si>
  <si>
    <t>Added ESW_Col_10 collective ICs (for Ethernet switch)</t>
  </si>
  <si>
    <t>01.00_d12</t>
  </si>
  <si>
    <t>Updated ESW_Col_10 collective ICs (for Ethernet switch)</t>
  </si>
  <si>
    <t>01.00_d13</t>
  </si>
  <si>
    <t>01.00_d14</t>
  </si>
  <si>
    <t>Added ADR_Col_10 collective ICs, Macronix to T3_COL_10 (Teseo)</t>
  </si>
  <si>
    <t>01.00_d15</t>
  </si>
  <si>
    <t>Changed Remarks for EthernetSwitch to "pre. assembly programming"</t>
  </si>
  <si>
    <t>Replaced Winbond IC 8611200479 for EthernetSwitch by Winbond 8611200598</t>
  </si>
  <si>
    <t>01.00_d16</t>
  </si>
  <si>
    <t>Rearranged the order of the CPLD sections</t>
  </si>
  <si>
    <t>Nisha</t>
  </si>
  <si>
    <t>01.00_d17</t>
  </si>
  <si>
    <t>01.00_d18</t>
  </si>
  <si>
    <r>
      <t>Corrected Winbond blank device Part No. 86112005</t>
    </r>
    <r>
      <rPr>
        <b/>
        <sz val="10"/>
        <rFont val="Arial"/>
        <family val="2"/>
      </rPr>
      <t>98</t>
    </r>
    <r>
      <rPr>
        <sz val="10"/>
        <rFont val="Arial"/>
        <family val="2"/>
      </rPr>
      <t>-01</t>
    </r>
  </si>
  <si>
    <t>01.00</t>
  </si>
  <si>
    <t>REL</t>
  </si>
  <si>
    <t>Corrected Samsung 128GB Indication,
Released template</t>
  </si>
  <si>
    <t>8611.C01.003</t>
  </si>
  <si>
    <t>D7050</t>
  </si>
  <si>
    <t>Added new GNSS (Ublox) with collective PN</t>
  </si>
  <si>
    <t>01.01</t>
  </si>
  <si>
    <t>Macronix
Winbond</t>
  </si>
  <si>
    <t>uBlox_COL_10 TMPL</t>
  </si>
  <si>
    <t>MX25V1635FM1R (8611.200.476)
W25Q16JV (8611.201.083)</t>
  </si>
  <si>
    <t>2Mbyte</t>
  </si>
  <si>
    <t>01.02</t>
  </si>
  <si>
    <t>Updated CPLD section (Lattice)</t>
  </si>
  <si>
    <t>01.03</t>
  </si>
  <si>
    <t>Added new Micron eMMCs (8611201190 … 1194)</t>
  </si>
  <si>
    <t>01.04</t>
  </si>
  <si>
    <t>Abinaya</t>
  </si>
  <si>
    <t>Changed Remarks for CPLD_L to "pre. assembly programming"</t>
  </si>
  <si>
    <t>8611.201.203-01</t>
  </si>
  <si>
    <t>D5871</t>
  </si>
  <si>
    <t>KLUDG4UHYB-B0EQx51</t>
  </si>
  <si>
    <t>SCC TMPL</t>
  </si>
  <si>
    <t>Infinion</t>
  </si>
  <si>
    <t>IS TC377TP-96F300S</t>
  </si>
  <si>
    <t>8909.005.801</t>
  </si>
  <si>
    <t>D8500</t>
  </si>
  <si>
    <t>Toshiba</t>
  </si>
  <si>
    <t>THGJFGT0T25BAB8</t>
  </si>
  <si>
    <t>????</t>
  </si>
  <si>
    <t>8611.201.186-01</t>
  </si>
  <si>
    <t>n.a.</t>
  </si>
  <si>
    <t>Micron</t>
  </si>
  <si>
    <t>MTFC128GAVATTC-AAT</t>
  </si>
  <si>
    <t>8909.011.449-01</t>
  </si>
  <si>
    <t>8611.201.203</t>
  </si>
  <si>
    <t>MX25V1635FM1R</t>
  </si>
  <si>
    <t>8611.200.476-01</t>
  </si>
  <si>
    <t>uBlox_M_10 TMPL</t>
  </si>
  <si>
    <t>UFS3.1_M128 TMPL</t>
  </si>
  <si>
    <t>UFS3.1_S128 TMPL</t>
  </si>
  <si>
    <t>UFS3.1_T128 TMPL</t>
  </si>
  <si>
    <t>UFS3.1_S128_10 TMPL</t>
  </si>
  <si>
    <t>KLUDG2RHYE-B0EQ052</t>
  </si>
  <si>
    <t>FBGA 153</t>
  </si>
  <si>
    <t xml:space="preserve">programmed to assembled device	</t>
  </si>
  <si>
    <t>8909.013.457-01</t>
  </si>
  <si>
    <t>UFS3.1_M128DA TMPL</t>
  </si>
  <si>
    <t>MTFC128GBCAVTC-AAT</t>
  </si>
  <si>
    <t>8909.013.178-01</t>
  </si>
  <si>
    <t>Kioxia</t>
  </si>
  <si>
    <t>8611.201.186</t>
  </si>
  <si>
    <t>UFS3.1_T128_10 TMPL</t>
  </si>
  <si>
    <t>8909.011.449</t>
  </si>
  <si>
    <t>UFS3.1_M128_10 TMPL</t>
  </si>
  <si>
    <t>UFS3.1_S128SV6P TMPL</t>
  </si>
  <si>
    <t>S P L</t>
  </si>
  <si>
    <t>Template:</t>
  </si>
  <si>
    <t>Software Part Numbers List</t>
  </si>
  <si>
    <t>General Project and Product Data</t>
  </si>
  <si>
    <t>Project / major application name</t>
  </si>
  <si>
    <t>SET:</t>
  </si>
  <si>
    <r>
      <t>SAP Project number  (PKN</t>
    </r>
    <r>
      <rPr>
        <sz val="9"/>
        <rFont val="Arial"/>
        <family val="2"/>
      </rPr>
      <t>):</t>
    </r>
  </si>
  <si>
    <t>State:</t>
  </si>
  <si>
    <t>requestNo</t>
  </si>
  <si>
    <t>Location of production:</t>
  </si>
  <si>
    <t>Date:</t>
  </si>
  <si>
    <t>SAP-Product-No. of major application:</t>
  </si>
  <si>
    <t>7510750344-01</t>
  </si>
  <si>
    <t>Purpose:</t>
  </si>
  <si>
    <t>Further variants of this appliance:</t>
  </si>
  <si>
    <t>Product No.</t>
  </si>
  <si>
    <t>Customer</t>
  </si>
  <si>
    <t>System Spec.</t>
  </si>
  <si>
    <t>-/-</t>
  </si>
  <si>
    <t>(Name and Product Number)</t>
  </si>
  <si>
    <t>Responsible for SW Delivery</t>
  </si>
  <si>
    <t>Phone:</t>
  </si>
  <si>
    <r>
      <t>Project Manager (</t>
    </r>
    <r>
      <rPr>
        <b/>
        <sz val="9"/>
        <rFont val="Arial"/>
        <family val="2"/>
      </rPr>
      <t>PM</t>
    </r>
    <r>
      <rPr>
        <sz val="9"/>
        <rFont val="Arial"/>
        <family val="2"/>
      </rPr>
      <t>):</t>
    </r>
  </si>
  <si>
    <r>
      <t>Software Project Manager (</t>
    </r>
    <r>
      <rPr>
        <b/>
        <sz val="9"/>
        <rFont val="Arial"/>
        <family val="2"/>
      </rPr>
      <t>SW-PM</t>
    </r>
    <r>
      <rPr>
        <sz val="9"/>
        <rFont val="Arial"/>
        <family val="2"/>
      </rPr>
      <t>):</t>
    </r>
  </si>
  <si>
    <r>
      <t>Responsible for Hardware (</t>
    </r>
    <r>
      <rPr>
        <b/>
        <sz val="9"/>
        <rFont val="Arial"/>
        <family val="2"/>
      </rPr>
      <t>HW-Dev</t>
    </r>
    <r>
      <rPr>
        <sz val="9"/>
        <rFont val="Arial"/>
        <family val="2"/>
      </rPr>
      <t>):</t>
    </r>
  </si>
  <si>
    <r>
      <t>Eng. Change Notification  (</t>
    </r>
    <r>
      <rPr>
        <b/>
        <sz val="9"/>
        <rFont val="Arial"/>
        <family val="2"/>
      </rPr>
      <t>ECN</t>
    </r>
    <r>
      <rPr>
        <sz val="9"/>
        <rFont val="Arial"/>
        <family val="2"/>
      </rPr>
      <t>):</t>
    </r>
  </si>
  <si>
    <r>
      <t>Eng. Change Request   (</t>
    </r>
    <r>
      <rPr>
        <b/>
        <sz val="9"/>
        <rFont val="Arial"/>
        <family val="2"/>
      </rPr>
      <t>ECR</t>
    </r>
    <r>
      <rPr>
        <sz val="9"/>
        <rFont val="Arial"/>
        <family val="2"/>
      </rPr>
      <t>):</t>
    </r>
  </si>
  <si>
    <t>Software Data</t>
  </si>
  <si>
    <t>Customer software Number</t>
  </si>
  <si>
    <t xml:space="preserve">Overall software version: </t>
  </si>
  <si>
    <t>SW container</t>
  </si>
  <si>
    <t>* Download file/Part No.(opt.)</t>
  </si>
  <si>
    <t>Nisharani C Paramba (MS/ECR4-XC)</t>
  </si>
  <si>
    <t>Nauta Auke (XC-CT/ERN3-P)</t>
  </si>
  <si>
    <t>+49 (5121) 49-4388</t>
  </si>
  <si>
    <t>Vogel Peter (XC-CT/ERN2-P) / Mohan Narayana Iyer (MS/PJ3-ECV-XC) / Karthikeyan Somasundaram (MS/ECV2-XC)</t>
  </si>
  <si>
    <t>+49(5121)49-4984</t>
  </si>
  <si>
    <t>Fuhrmann Johann (XC-CT/EHP3)</t>
  </si>
  <si>
    <t>+49(5121)49-2088</t>
  </si>
  <si>
    <t>Nissan CCS2</t>
  </si>
  <si>
    <t>BM-00066004</t>
  </si>
  <si>
    <t>RBMA (9050), AdP (982W)</t>
  </si>
  <si>
    <t xml:space="preserve">Template </t>
  </si>
  <si>
    <t>Changed the lines 19 -24 for CCS2</t>
  </si>
  <si>
    <t>UCB Configuration</t>
  </si>
  <si>
    <t>* Data container to plant / Part No.</t>
  </si>
  <si>
    <t>To be programmed via CTS</t>
  </si>
  <si>
    <t>UFS3.1_CPN1128_10 TMPL</t>
  </si>
  <si>
    <t>1267.379.598</t>
  </si>
  <si>
    <t>Micron
Samsung/Greenhill</t>
  </si>
  <si>
    <t>MTFC128GAVATTC-AAT (8909.011.449)
KLUDG4UHYB-B0EQx53 (8909.013.787)</t>
  </si>
  <si>
    <t>UFS3.1_CPN4128_10 TMPL</t>
  </si>
  <si>
    <t>1267.378.105</t>
  </si>
  <si>
    <t>MTFC128GBCAVTC-AAT 030 (8909.014.640)
KLUDG4UHYB-B0EQx53 (8909.013.787)</t>
  </si>
  <si>
    <t>Added an extra section for SCC - lines 69 -72 , as in BU release it needs 'pre. assembly programming' and 'To be programmed via CTS' sections</t>
  </si>
  <si>
    <t>Added UFS3.1_CPN4128_10</t>
  </si>
  <si>
    <t>UFS3.1_CPN5128_10 TMPL</t>
  </si>
  <si>
    <t>1267.378.119</t>
  </si>
  <si>
    <t>THGJFGT0T25BAB8 (8611.201.186)
HN8T05DJHQX105 (8909.014.434)</t>
  </si>
  <si>
    <t>UFS3.1_CPN6128_10 TMPL</t>
  </si>
  <si>
    <t>KLUDG4UHYB-B0EQx53 (8909.013.787)
HN8T05DJHQX105 (8909.014.434)</t>
  </si>
  <si>
    <t>1267.378.101</t>
  </si>
  <si>
    <t>Added UFS3.1_CPN5128_10 and UFS3.1_CPN6128_10</t>
  </si>
  <si>
    <t>1.08</t>
  </si>
  <si>
    <t>Kioxia
SK Hynix</t>
  </si>
  <si>
    <t>Samsung/Greenhil
SK Hynix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</si>
</sst>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sz val="11"/>
      <color theme="1"/>
      <name val="Calibri"/>
      <family val="2"/>
      <scheme val="minor"/>
    </font>
    <font>
      <b/>
      <sz val="10"/>
      <color rgb="FF295AE3"/>
      <name val="Arial"/>
      <family val="2"/>
    </font>
    <font>
      <b/>
      <sz val="9"/>
      <color rgb="FF295AE3"/>
      <name val="Arial"/>
      <family val="2"/>
    </font>
    <font>
      <b/>
      <u/>
      <sz val="18"/>
      <name val="Arial"/>
      <family val="2"/>
    </font>
    <font>
      <b/>
      <u/>
      <sz val="18"/>
      <color indexed="10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  <font>
      <u/>
      <sz val="11"/>
      <name val="Arial"/>
      <family val="2"/>
    </font>
    <font>
      <u/>
      <sz val="10"/>
      <color theme="10"/>
      <name val="Arial"/>
      <family val="2"/>
    </font>
    <font>
      <b/>
      <u/>
      <sz val="11"/>
      <color indexed="10"/>
      <name val="Arial"/>
      <family val="2"/>
    </font>
    <font>
      <u/>
      <sz val="18"/>
      <name val="Arial"/>
      <family val="2"/>
    </font>
    <font>
      <u/>
      <sz val="9"/>
      <name val="Arial"/>
      <family val="2"/>
    </font>
    <font>
      <sz val="10"/>
      <name val="Times New Roman"/>
      <family val="1"/>
    </font>
    <font>
      <b/>
      <sz val="16"/>
      <name val="Arial"/>
      <family val="2"/>
    </font>
    <font>
      <b/>
      <sz val="9"/>
      <color theme="0" tint="-0.249977111117893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7"/>
      <name val="Arial"/>
      <family val="2"/>
    </font>
    <font>
      <b/>
      <sz val="9"/>
      <color rgb="FF0000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</fills>
  <borders count="10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08080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8" fillId="3" borderId="10" applyNumberFormat="0">
      <alignment horizontal="left" vertical="center" wrapText="1"/>
    </xf>
    <xf numFmtId="0" fontId="9" fillId="0" borderId="0"/>
    <xf numFmtId="0" fontId="12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3" fillId="0" borderId="0"/>
    <xf numFmtId="0" fontId="2" fillId="0" borderId="0"/>
    <xf numFmtId="0" fontId="2" fillId="0" borderId="0"/>
  </cellStyleXfs>
  <cellXfs count="362">
    <xf numFmtId="0" fontId="0" fillId="0" borderId="0" xfId="0"/>
    <xf numFmtId="0" fontId="4" fillId="0" borderId="0" xfId="1"/>
    <xf numFmtId="0" fontId="4" fillId="0" borderId="0" xfId="1" applyAlignment="1">
      <alignment vertical="top"/>
    </xf>
    <xf numFmtId="0" fontId="12" fillId="0" borderId="0" xfId="4"/>
    <xf numFmtId="0" fontId="6" fillId="2" borderId="8" xfId="1" applyFont="1" applyFill="1" applyBorder="1" applyAlignment="1">
      <alignment horizontal="left" vertical="top" wrapText="1"/>
    </xf>
    <xf numFmtId="0" fontId="7" fillId="4" borderId="17" xfId="1" applyFont="1" applyFill="1" applyBorder="1" applyAlignment="1">
      <alignment vertical="top" wrapText="1"/>
    </xf>
    <xf numFmtId="0" fontId="6" fillId="4" borderId="29" xfId="1" applyFont="1" applyFill="1" applyBorder="1" applyAlignment="1">
      <alignment horizontal="center" vertical="top" wrapText="1"/>
    </xf>
    <xf numFmtId="49" fontId="4" fillId="0" borderId="13" xfId="1" applyNumberFormat="1" applyFont="1" applyFill="1" applyBorder="1" applyAlignment="1" applyProtection="1">
      <alignment horizontal="center" vertical="top" wrapText="1"/>
      <protection locked="0"/>
    </xf>
    <xf numFmtId="0" fontId="6" fillId="0" borderId="34" xfId="0" applyFont="1" applyFill="1" applyBorder="1" applyAlignment="1" applyProtection="1">
      <alignment horizontal="center" vertical="top" wrapText="1"/>
      <protection locked="0"/>
    </xf>
    <xf numFmtId="0" fontId="11" fillId="6" borderId="20" xfId="1" applyFont="1" applyFill="1" applyBorder="1" applyAlignment="1">
      <alignment horizontal="left" vertical="center"/>
    </xf>
    <xf numFmtId="0" fontId="11" fillId="6" borderId="10" xfId="1" applyFont="1" applyFill="1" applyBorder="1" applyAlignment="1" applyProtection="1">
      <alignment horizontal="left" vertical="center"/>
      <protection hidden="1"/>
    </xf>
    <xf numFmtId="0" fontId="11" fillId="6" borderId="10" xfId="1" applyFont="1" applyFill="1" applyBorder="1" applyAlignment="1">
      <alignment horizontal="left" vertical="center"/>
    </xf>
    <xf numFmtId="0" fontId="11" fillId="6" borderId="10" xfId="1" applyFont="1" applyFill="1" applyBorder="1" applyAlignment="1">
      <alignment horizontal="center" vertical="center"/>
    </xf>
    <xf numFmtId="0" fontId="11" fillId="6" borderId="45" xfId="1" applyFont="1" applyFill="1" applyBorder="1" applyAlignment="1">
      <alignment horizontal="center" vertical="center"/>
    </xf>
    <xf numFmtId="0" fontId="11" fillId="6" borderId="19" xfId="1" applyFont="1" applyFill="1" applyBorder="1" applyAlignment="1">
      <alignment horizontal="center" vertical="center"/>
    </xf>
    <xf numFmtId="0" fontId="11" fillId="7" borderId="20" xfId="1" applyFont="1" applyFill="1" applyBorder="1" applyAlignment="1">
      <alignment horizontal="left"/>
    </xf>
    <xf numFmtId="0" fontId="11" fillId="7" borderId="10" xfId="1" applyFont="1" applyFill="1" applyBorder="1"/>
    <xf numFmtId="0" fontId="11" fillId="7" borderId="10" xfId="1" applyFont="1" applyFill="1" applyBorder="1" applyAlignment="1">
      <alignment horizontal="center"/>
    </xf>
    <xf numFmtId="0" fontId="11" fillId="7" borderId="45" xfId="1" applyFont="1" applyFill="1" applyBorder="1" applyAlignment="1">
      <alignment horizontal="center"/>
    </xf>
    <xf numFmtId="0" fontId="11" fillId="7" borderId="19" xfId="1" applyFont="1" applyFill="1" applyBorder="1" applyAlignment="1">
      <alignment horizontal="center"/>
    </xf>
    <xf numFmtId="0" fontId="4" fillId="0" borderId="20" xfId="1" applyBorder="1" applyAlignment="1">
      <alignment vertical="top"/>
    </xf>
    <xf numFmtId="0" fontId="4" fillId="0" borderId="10" xfId="1" applyFont="1" applyBorder="1" applyAlignment="1">
      <alignment vertical="top" wrapText="1"/>
    </xf>
    <xf numFmtId="0" fontId="4" fillId="0" borderId="10" xfId="1" applyFont="1" applyBorder="1" applyAlignment="1">
      <alignment vertical="top"/>
    </xf>
    <xf numFmtId="14" fontId="4" fillId="0" borderId="10" xfId="1" applyNumberFormat="1" applyFont="1" applyFill="1" applyBorder="1" applyAlignment="1">
      <alignment horizontal="center" vertical="top"/>
    </xf>
    <xf numFmtId="14" fontId="4" fillId="0" borderId="45" xfId="1" applyNumberFormat="1" applyFont="1" applyFill="1" applyBorder="1" applyAlignment="1">
      <alignment horizontal="center" vertical="top"/>
    </xf>
    <xf numFmtId="0" fontId="4" fillId="0" borderId="19" xfId="1" applyFont="1" applyBorder="1" applyAlignment="1">
      <alignment horizontal="center" vertical="top"/>
    </xf>
    <xf numFmtId="0" fontId="4" fillId="0" borderId="10" xfId="1" applyFont="1" applyBorder="1" applyAlignment="1">
      <alignment horizontal="left" vertical="top" wrapText="1"/>
    </xf>
    <xf numFmtId="14" fontId="4" fillId="0" borderId="10" xfId="1" applyNumberFormat="1" applyFont="1" applyBorder="1" applyAlignment="1">
      <alignment horizontal="center" vertical="top" wrapText="1"/>
    </xf>
    <xf numFmtId="14" fontId="4" fillId="0" borderId="45" xfId="1" applyNumberFormat="1" applyFont="1" applyBorder="1" applyAlignment="1">
      <alignment horizontal="center" vertical="top" wrapText="1"/>
    </xf>
    <xf numFmtId="0" fontId="4" fillId="0" borderId="46" xfId="1" applyBorder="1" applyAlignment="1">
      <alignment vertical="top"/>
    </xf>
    <xf numFmtId="0" fontId="4" fillId="0" borderId="47" xfId="1" applyFont="1" applyBorder="1" applyAlignment="1">
      <alignment horizontal="left" vertical="top" wrapText="1"/>
    </xf>
    <xf numFmtId="14" fontId="4" fillId="0" borderId="47" xfId="1" applyNumberFormat="1" applyFont="1" applyBorder="1" applyAlignment="1">
      <alignment horizontal="center" vertical="top" wrapText="1"/>
    </xf>
    <xf numFmtId="14" fontId="4" fillId="0" borderId="48" xfId="1" applyNumberFormat="1" applyFont="1" applyBorder="1" applyAlignment="1">
      <alignment horizontal="center" vertical="top" wrapText="1"/>
    </xf>
    <xf numFmtId="0" fontId="4" fillId="0" borderId="49" xfId="1" applyFont="1" applyBorder="1" applyAlignment="1">
      <alignment horizontal="center" vertical="top"/>
    </xf>
    <xf numFmtId="0" fontId="4" fillId="0" borderId="50" xfId="1" applyFont="1" applyBorder="1" applyAlignment="1">
      <alignment vertical="top" wrapText="1"/>
    </xf>
    <xf numFmtId="0" fontId="4" fillId="0" borderId="50" xfId="1" applyFont="1" applyBorder="1" applyAlignment="1">
      <alignment vertical="top"/>
    </xf>
    <xf numFmtId="14" fontId="4" fillId="0" borderId="50" xfId="1" applyNumberFormat="1" applyFont="1" applyFill="1" applyBorder="1" applyAlignment="1">
      <alignment horizontal="center" vertical="top"/>
    </xf>
    <xf numFmtId="14" fontId="4" fillId="0" borderId="51" xfId="1" applyNumberFormat="1" applyFont="1" applyFill="1" applyBorder="1" applyAlignment="1">
      <alignment horizontal="center" vertical="top"/>
    </xf>
    <xf numFmtId="0" fontId="4" fillId="0" borderId="52" xfId="1" applyFont="1" applyBorder="1" applyAlignment="1">
      <alignment horizontal="center" vertical="top"/>
    </xf>
    <xf numFmtId="0" fontId="15" fillId="0" borderId="9" xfId="1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15" fillId="0" borderId="2" xfId="1" applyFont="1" applyBorder="1" applyAlignment="1">
      <alignment horizontal="left" vertical="center"/>
    </xf>
    <xf numFmtId="0" fontId="0" fillId="0" borderId="53" xfId="0" applyBorder="1"/>
    <xf numFmtId="0" fontId="19" fillId="5" borderId="54" xfId="1" applyFont="1" applyFill="1" applyBorder="1" applyAlignment="1">
      <alignment horizontal="left" vertical="center" wrapText="1"/>
    </xf>
    <xf numFmtId="0" fontId="20" fillId="5" borderId="0" xfId="5" applyFill="1" applyBorder="1" applyAlignment="1" applyProtection="1">
      <alignment horizontal="left" vertical="center"/>
    </xf>
    <xf numFmtId="0" fontId="21" fillId="5" borderId="0" xfId="1" applyFont="1" applyFill="1" applyBorder="1" applyAlignment="1">
      <alignment horizontal="left" vertical="center" wrapText="1"/>
    </xf>
    <xf numFmtId="0" fontId="21" fillId="5" borderId="7" xfId="1" applyFont="1" applyFill="1" applyBorder="1" applyAlignment="1">
      <alignment horizontal="left" vertical="center" wrapText="1"/>
    </xf>
    <xf numFmtId="0" fontId="22" fillId="5" borderId="41" xfId="1" applyFont="1" applyFill="1" applyBorder="1" applyAlignment="1">
      <alignment horizontal="center" vertical="center" wrapText="1"/>
    </xf>
    <xf numFmtId="0" fontId="23" fillId="5" borderId="42" xfId="1" applyFont="1" applyFill="1" applyBorder="1" applyAlignment="1">
      <alignment horizontal="left" vertical="center" wrapText="1"/>
    </xf>
    <xf numFmtId="0" fontId="7" fillId="8" borderId="55" xfId="1" applyFont="1" applyFill="1" applyBorder="1" applyAlignment="1">
      <alignment horizontal="right" vertical="center" wrapText="1"/>
    </xf>
    <xf numFmtId="0" fontId="7" fillId="8" borderId="56" xfId="6" applyFont="1" applyFill="1" applyBorder="1" applyAlignment="1">
      <alignment horizontal="center" vertical="top"/>
    </xf>
    <xf numFmtId="0" fontId="7" fillId="8" borderId="3" xfId="6" applyFont="1" applyFill="1" applyBorder="1" applyAlignment="1">
      <alignment horizontal="center" vertical="top"/>
    </xf>
    <xf numFmtId="0" fontId="7" fillId="8" borderId="2" xfId="6" applyFont="1" applyFill="1" applyBorder="1" applyAlignment="1">
      <alignment horizontal="center" vertical="top"/>
    </xf>
    <xf numFmtId="0" fontId="22" fillId="5" borderId="57" xfId="1" applyFont="1" applyFill="1" applyBorder="1" applyAlignment="1">
      <alignment horizontal="center" vertical="center" wrapText="1"/>
    </xf>
    <xf numFmtId="0" fontId="16" fillId="5" borderId="58" xfId="1" applyFont="1" applyFill="1" applyBorder="1" applyAlignment="1">
      <alignment horizontal="center" vertical="center" wrapText="1"/>
    </xf>
    <xf numFmtId="0" fontId="16" fillId="8" borderId="59" xfId="1" applyFont="1" applyFill="1" applyBorder="1" applyAlignment="1">
      <alignment horizontal="center" vertical="center" wrapText="1"/>
    </xf>
    <xf numFmtId="14" fontId="4" fillId="8" borderId="60" xfId="6" applyNumberFormat="1" applyFill="1" applyBorder="1" applyAlignment="1">
      <alignment horizontal="center" vertical="top"/>
    </xf>
    <xf numFmtId="0" fontId="4" fillId="8" borderId="4" xfId="6" applyFill="1" applyBorder="1" applyAlignment="1">
      <alignment horizontal="center" vertical="top"/>
    </xf>
    <xf numFmtId="0" fontId="4" fillId="8" borderId="1" xfId="6" applyNumberFormat="1" applyFill="1" applyBorder="1" applyAlignment="1">
      <alignment horizontal="center" vertical="top"/>
    </xf>
    <xf numFmtId="0" fontId="11" fillId="8" borderId="61" xfId="1" applyFont="1" applyFill="1" applyBorder="1" applyAlignment="1">
      <alignment horizontal="left" vertical="center"/>
    </xf>
    <xf numFmtId="0" fontId="11" fillId="8" borderId="62" xfId="1" applyFont="1" applyFill="1" applyBorder="1" applyAlignment="1" applyProtection="1">
      <alignment horizontal="left" vertical="center"/>
      <protection hidden="1"/>
    </xf>
    <xf numFmtId="0" fontId="11" fillId="8" borderId="62" xfId="1" applyFont="1" applyFill="1" applyBorder="1" applyAlignment="1">
      <alignment horizontal="left" vertical="center"/>
    </xf>
    <xf numFmtId="0" fontId="11" fillId="8" borderId="62" xfId="1" applyFont="1" applyFill="1" applyBorder="1" applyAlignment="1">
      <alignment horizontal="center" vertical="center"/>
    </xf>
    <xf numFmtId="0" fontId="11" fillId="8" borderId="63" xfId="1" applyFont="1" applyFill="1" applyBorder="1" applyAlignment="1">
      <alignment horizontal="center" vertical="center"/>
    </xf>
    <xf numFmtId="0" fontId="11" fillId="8" borderId="64" xfId="1" applyFont="1" applyFill="1" applyBorder="1" applyAlignment="1">
      <alignment horizontal="center" vertical="center"/>
    </xf>
    <xf numFmtId="0" fontId="4" fillId="0" borderId="65" xfId="1" applyBorder="1" applyAlignment="1">
      <alignment vertical="top"/>
    </xf>
    <xf numFmtId="49" fontId="6" fillId="0" borderId="12" xfId="1" applyNumberFormat="1" applyFont="1" applyFill="1" applyBorder="1" applyAlignment="1" applyProtection="1">
      <alignment horizontal="center" vertical="top" wrapText="1"/>
      <protection locked="0"/>
    </xf>
    <xf numFmtId="49" fontId="4" fillId="0" borderId="45" xfId="1" applyNumberFormat="1" applyFont="1" applyFill="1" applyBorder="1" applyAlignment="1">
      <alignment horizontal="center" vertical="top"/>
    </xf>
    <xf numFmtId="0" fontId="6" fillId="0" borderId="14" xfId="1" applyFont="1" applyBorder="1" applyAlignment="1" applyProtection="1">
      <alignment horizontal="center" vertical="top" wrapText="1"/>
      <protection locked="0"/>
    </xf>
    <xf numFmtId="0" fontId="6" fillId="4" borderId="30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49" fontId="6" fillId="0" borderId="12" xfId="1" applyNumberFormat="1" applyFont="1" applyBorder="1" applyAlignment="1" applyProtection="1">
      <alignment horizontal="center" vertical="top" wrapText="1"/>
      <protection locked="0"/>
    </xf>
    <xf numFmtId="49" fontId="4" fillId="0" borderId="13" xfId="1" applyNumberFormat="1" applyBorder="1" applyAlignment="1" applyProtection="1">
      <alignment horizontal="center" vertical="top" wrapText="1"/>
      <protection locked="0"/>
    </xf>
    <xf numFmtId="0" fontId="13" fillId="0" borderId="5" xfId="1" applyFont="1" applyBorder="1" applyAlignment="1" applyProtection="1">
      <alignment horizontal="center" vertical="top" wrapText="1"/>
      <protection locked="0"/>
    </xf>
    <xf numFmtId="49" fontId="4" fillId="0" borderId="16" xfId="1" applyNumberFormat="1" applyBorder="1" applyAlignment="1" applyProtection="1">
      <alignment horizontal="center" vertical="top" wrapText="1"/>
      <protection locked="0"/>
    </xf>
    <xf numFmtId="0" fontId="4" fillId="0" borderId="0" xfId="0" applyFont="1" applyAlignment="1">
      <alignment horizontal="center" vertical="center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4" fillId="0" borderId="0" xfId="1"/>
    <xf numFmtId="0" fontId="6" fillId="2" borderId="8" xfId="1" applyFont="1" applyFill="1" applyBorder="1" applyAlignment="1">
      <alignment horizontal="left" vertical="top" wrapText="1"/>
    </xf>
    <xf numFmtId="0" fontId="7" fillId="4" borderId="17" xfId="1" applyFont="1" applyFill="1" applyBorder="1" applyAlignment="1">
      <alignment vertical="top" wrapText="1"/>
    </xf>
    <xf numFmtId="0" fontId="6" fillId="4" borderId="29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49" fontId="4" fillId="0" borderId="16" xfId="1" applyNumberFormat="1" applyFont="1" applyFill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4" fillId="0" borderId="0" xfId="1"/>
    <xf numFmtId="0" fontId="6" fillId="4" borderId="29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0" borderId="14" xfId="1" applyFont="1" applyBorder="1" applyAlignment="1" applyProtection="1">
      <alignment horizontal="center" vertical="top" wrapText="1"/>
      <protection locked="0"/>
    </xf>
    <xf numFmtId="49" fontId="6" fillId="0" borderId="12" xfId="1" applyNumberFormat="1" applyFont="1" applyBorder="1" applyAlignment="1" applyProtection="1">
      <alignment horizontal="center" vertical="top" wrapText="1"/>
      <protection locked="0"/>
    </xf>
    <xf numFmtId="49" fontId="4" fillId="0" borderId="16" xfId="1" applyNumberFormat="1" applyBorder="1" applyAlignment="1" applyProtection="1">
      <alignment horizontal="center" vertical="top" wrapText="1"/>
      <protection locked="0"/>
    </xf>
    <xf numFmtId="0" fontId="13" fillId="0" borderId="5" xfId="1" applyFont="1" applyBorder="1" applyAlignment="1" applyProtection="1">
      <alignment horizontal="center" vertical="top" wrapText="1"/>
      <protection locked="0"/>
    </xf>
    <xf numFmtId="0" fontId="4" fillId="0" borderId="0" xfId="1"/>
    <xf numFmtId="0" fontId="6" fillId="2" borderId="8" xfId="1" applyFont="1" applyFill="1" applyBorder="1" applyAlignment="1">
      <alignment horizontal="left" vertical="top" wrapText="1"/>
    </xf>
    <xf numFmtId="0" fontId="7" fillId="4" borderId="17" xfId="1" applyFont="1" applyFill="1" applyBorder="1" applyAlignment="1">
      <alignment vertical="top" wrapText="1"/>
    </xf>
    <xf numFmtId="0" fontId="6" fillId="4" borderId="29" xfId="1" applyFont="1" applyFill="1" applyBorder="1" applyAlignment="1">
      <alignment horizontal="center" vertical="top" wrapText="1"/>
    </xf>
    <xf numFmtId="0" fontId="6" fillId="4" borderId="30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0" borderId="14" xfId="1" applyFont="1" applyBorder="1" applyAlignment="1" applyProtection="1">
      <alignment horizontal="center" vertical="top" wrapText="1"/>
      <protection locked="0"/>
    </xf>
    <xf numFmtId="49" fontId="6" fillId="0" borderId="12" xfId="1" applyNumberFormat="1" applyFont="1" applyBorder="1" applyAlignment="1" applyProtection="1">
      <alignment horizontal="center" vertical="top" wrapText="1"/>
      <protection locked="0"/>
    </xf>
    <xf numFmtId="49" fontId="4" fillId="0" borderId="16" xfId="1" applyNumberFormat="1" applyBorder="1" applyAlignment="1" applyProtection="1">
      <alignment horizontal="center" vertical="top" wrapText="1"/>
      <protection locked="0"/>
    </xf>
    <xf numFmtId="0" fontId="4" fillId="0" borderId="0" xfId="1"/>
    <xf numFmtId="0" fontId="6" fillId="2" borderId="8" xfId="1" applyFont="1" applyFill="1" applyBorder="1" applyAlignment="1">
      <alignment horizontal="left" vertical="top" wrapText="1"/>
    </xf>
    <xf numFmtId="0" fontId="7" fillId="4" borderId="17" xfId="1" applyFont="1" applyFill="1" applyBorder="1" applyAlignment="1">
      <alignment vertical="top" wrapText="1"/>
    </xf>
    <xf numFmtId="0" fontId="6" fillId="4" borderId="29" xfId="1" applyFont="1" applyFill="1" applyBorder="1" applyAlignment="1">
      <alignment horizontal="center" vertical="top" wrapText="1"/>
    </xf>
    <xf numFmtId="0" fontId="6" fillId="0" borderId="14" xfId="1" applyFont="1" applyFill="1" applyBorder="1" applyAlignment="1" applyProtection="1">
      <alignment horizontal="center" vertical="top" wrapText="1"/>
      <protection locked="0"/>
    </xf>
    <xf numFmtId="0" fontId="6" fillId="0" borderId="34" xfId="0" applyFont="1" applyFill="1" applyBorder="1" applyAlignment="1" applyProtection="1">
      <alignment horizontal="center" vertical="top" wrapText="1"/>
      <protection locked="0"/>
    </xf>
    <xf numFmtId="0" fontId="6" fillId="0" borderId="27" xfId="1" applyFont="1" applyFill="1" applyBorder="1" applyAlignment="1" applyProtection="1">
      <alignment horizontal="center" vertical="top" wrapText="1"/>
      <protection locked="0"/>
    </xf>
    <xf numFmtId="0" fontId="13" fillId="0" borderId="5" xfId="1" applyFont="1" applyFill="1" applyBorder="1" applyAlignment="1" applyProtection="1">
      <alignment horizontal="center" vertical="top" wrapText="1"/>
      <protection locked="0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49" fontId="6" fillId="0" borderId="12" xfId="1" applyNumberFormat="1" applyFont="1" applyFill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49" fontId="4" fillId="0" borderId="16" xfId="1" applyNumberFormat="1" applyBorder="1" applyAlignment="1" applyProtection="1">
      <alignment horizontal="center" vertical="top" wrapText="1"/>
      <protection locked="0"/>
    </xf>
    <xf numFmtId="0" fontId="6" fillId="2" borderId="8" xfId="1" applyFont="1" applyFill="1" applyBorder="1" applyAlignment="1">
      <alignment horizontal="left" vertical="top" wrapText="1"/>
    </xf>
    <xf numFmtId="0" fontId="7" fillId="4" borderId="17" xfId="1" applyFont="1" applyFill="1" applyBorder="1" applyAlignment="1">
      <alignment vertical="top" wrapText="1"/>
    </xf>
    <xf numFmtId="0" fontId="6" fillId="4" borderId="29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0" borderId="14" xfId="1" applyFont="1" applyBorder="1" applyAlignment="1" applyProtection="1">
      <alignment horizontal="center" vertical="top" wrapText="1"/>
      <protection locked="0"/>
    </xf>
    <xf numFmtId="49" fontId="6" fillId="0" borderId="12" xfId="1" applyNumberFormat="1" applyFont="1" applyBorder="1" applyAlignment="1" applyProtection="1">
      <alignment horizontal="center" vertical="top" wrapText="1"/>
      <protection locked="0"/>
    </xf>
    <xf numFmtId="0" fontId="13" fillId="0" borderId="5" xfId="1" applyFont="1" applyBorder="1" applyAlignment="1" applyProtection="1">
      <alignment horizontal="center" vertical="top" wrapText="1"/>
      <protection locked="0"/>
    </xf>
    <xf numFmtId="0" fontId="6" fillId="0" borderId="27" xfId="1" applyFont="1" applyBorder="1" applyAlignment="1" applyProtection="1">
      <alignment horizontal="center" vertical="top" wrapText="1"/>
      <protection locked="0"/>
    </xf>
    <xf numFmtId="49" fontId="4" fillId="0" borderId="16" xfId="1" applyNumberFormat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4" borderId="30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24" fillId="0" borderId="68" xfId="1" applyFont="1" applyBorder="1" applyAlignment="1">
      <alignment wrapText="1"/>
    </xf>
    <xf numFmtId="0" fontId="27" fillId="0" borderId="6" xfId="1" applyFont="1" applyBorder="1" applyAlignment="1">
      <alignment wrapText="1"/>
    </xf>
    <xf numFmtId="14" fontId="26" fillId="0" borderId="5" xfId="1" applyNumberFormat="1" applyFont="1" applyBorder="1" applyAlignment="1">
      <alignment horizontal="center" wrapText="1"/>
    </xf>
    <xf numFmtId="14" fontId="26" fillId="0" borderId="4" xfId="1" applyNumberFormat="1" applyFont="1" applyBorder="1" applyAlignment="1">
      <alignment horizontal="center" wrapText="1"/>
    </xf>
    <xf numFmtId="0" fontId="26" fillId="0" borderId="1" xfId="1" applyFont="1" applyBorder="1" applyAlignment="1">
      <alignment horizontal="center" wrapText="1"/>
    </xf>
    <xf numFmtId="0" fontId="5" fillId="10" borderId="71" xfId="1" applyFont="1" applyFill="1" applyBorder="1" applyAlignment="1">
      <alignment vertical="top" wrapText="1"/>
    </xf>
    <xf numFmtId="0" fontId="5" fillId="4" borderId="11" xfId="1" applyFont="1" applyFill="1" applyBorder="1" applyAlignment="1">
      <alignment vertical="top" wrapText="1"/>
    </xf>
    <xf numFmtId="0" fontId="5" fillId="10" borderId="72" xfId="1" applyFont="1" applyFill="1" applyBorder="1" applyAlignment="1">
      <alignment vertical="top" wrapText="1"/>
    </xf>
    <xf numFmtId="0" fontId="7" fillId="4" borderId="14" xfId="1" applyFont="1" applyFill="1" applyBorder="1" applyAlignment="1">
      <alignment vertical="top" wrapText="1"/>
    </xf>
    <xf numFmtId="0" fontId="4" fillId="0" borderId="10" xfId="1" applyBorder="1"/>
    <xf numFmtId="0" fontId="5" fillId="10" borderId="73" xfId="1" applyFont="1" applyFill="1" applyBorder="1" applyAlignment="1">
      <alignment vertical="top" wrapText="1"/>
    </xf>
    <xf numFmtId="0" fontId="5" fillId="4" borderId="74" xfId="1" applyFont="1" applyFill="1" applyBorder="1" applyAlignment="1">
      <alignment vertical="top" wrapText="1"/>
    </xf>
    <xf numFmtId="0" fontId="5" fillId="10" borderId="6" xfId="1" applyFont="1" applyFill="1" applyBorder="1" applyAlignment="1">
      <alignment vertical="top" wrapText="1"/>
    </xf>
    <xf numFmtId="0" fontId="5" fillId="4" borderId="75" xfId="1" applyFont="1" applyFill="1" applyBorder="1" applyAlignment="1">
      <alignment vertical="top" wrapText="1"/>
    </xf>
    <xf numFmtId="0" fontId="6" fillId="2" borderId="68" xfId="1" applyFont="1" applyFill="1" applyBorder="1" applyAlignment="1">
      <alignment vertical="top" wrapText="1"/>
    </xf>
    <xf numFmtId="0" fontId="5" fillId="0" borderId="69" xfId="1" applyFont="1" applyBorder="1" applyAlignment="1" applyProtection="1">
      <alignment horizontal="left" vertical="top" wrapText="1"/>
      <protection locked="0"/>
    </xf>
    <xf numFmtId="0" fontId="29" fillId="0" borderId="70" xfId="0" applyFont="1" applyBorder="1" applyAlignment="1">
      <alignment horizontal="left"/>
    </xf>
    <xf numFmtId="0" fontId="29" fillId="0" borderId="3" xfId="0" applyFont="1" applyBorder="1"/>
    <xf numFmtId="0" fontId="29" fillId="0" borderId="3" xfId="0" quotePrefix="1" applyFont="1" applyBorder="1"/>
    <xf numFmtId="0" fontId="29" fillId="0" borderId="2" xfId="0" applyFont="1" applyBorder="1"/>
    <xf numFmtId="0" fontId="30" fillId="2" borderId="18" xfId="1" applyFont="1" applyFill="1" applyBorder="1" applyAlignment="1">
      <alignment vertical="top" wrapText="1"/>
    </xf>
    <xf numFmtId="0" fontId="13" fillId="0" borderId="3" xfId="0" applyFont="1" applyBorder="1" applyAlignment="1">
      <alignment horizontal="right" vertical="center"/>
    </xf>
    <xf numFmtId="49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quotePrefix="1" applyBorder="1" applyAlignment="1">
      <alignment horizontal="left" vertical="center"/>
    </xf>
    <xf numFmtId="0" fontId="6" fillId="2" borderId="18" xfId="1" applyFont="1" applyFill="1" applyBorder="1" applyAlignment="1">
      <alignment vertical="top" wrapText="1"/>
    </xf>
    <xf numFmtId="0" fontId="5" fillId="0" borderId="0" xfId="1" applyFont="1" applyAlignment="1" applyProtection="1">
      <alignment horizontal="left" vertical="top" wrapText="1"/>
      <protection locked="0"/>
    </xf>
    <xf numFmtId="0" fontId="29" fillId="0" borderId="0" xfId="0" applyFont="1" applyAlignment="1">
      <alignment horizontal="left"/>
    </xf>
    <xf numFmtId="0" fontId="29" fillId="0" borderId="0" xfId="0" applyFont="1"/>
    <xf numFmtId="0" fontId="29" fillId="0" borderId="0" xfId="0" quotePrefix="1" applyFont="1"/>
    <xf numFmtId="0" fontId="29" fillId="0" borderId="76" xfId="0" applyFont="1" applyBorder="1"/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2" borderId="77" xfId="1" applyFont="1" applyFill="1" applyBorder="1" applyAlignment="1">
      <alignment vertical="top" wrapText="1"/>
    </xf>
    <xf numFmtId="0" fontId="6" fillId="11" borderId="77" xfId="1" applyFont="1" applyFill="1" applyBorder="1" applyAlignment="1">
      <alignment vertical="top" wrapText="1"/>
    </xf>
    <xf numFmtId="0" fontId="6" fillId="2" borderId="81" xfId="1" applyFont="1" applyFill="1" applyBorder="1" applyAlignment="1">
      <alignment vertical="top" wrapText="1"/>
    </xf>
    <xf numFmtId="0" fontId="6" fillId="11" borderId="81" xfId="1" applyFont="1" applyFill="1" applyBorder="1" applyAlignment="1">
      <alignment vertical="top" wrapText="1"/>
    </xf>
    <xf numFmtId="0" fontId="6" fillId="2" borderId="6" xfId="1" applyFont="1" applyFill="1" applyBorder="1" applyAlignment="1">
      <alignment vertical="top" wrapText="1"/>
    </xf>
    <xf numFmtId="0" fontId="6" fillId="11" borderId="87" xfId="1" applyFont="1" applyFill="1" applyBorder="1" applyAlignment="1">
      <alignment vertical="top" wrapText="1"/>
    </xf>
    <xf numFmtId="0" fontId="32" fillId="2" borderId="69" xfId="1" applyFont="1" applyFill="1" applyBorder="1" applyAlignment="1">
      <alignment vertical="top" wrapText="1"/>
    </xf>
    <xf numFmtId="0" fontId="32" fillId="2" borderId="5" xfId="1" applyFont="1" applyFill="1" applyBorder="1" applyAlignment="1">
      <alignment vertical="top" wrapText="1"/>
    </xf>
    <xf numFmtId="0" fontId="7" fillId="2" borderId="5" xfId="1" applyFont="1" applyFill="1" applyBorder="1" applyAlignment="1">
      <alignment vertical="top" wrapText="1"/>
    </xf>
    <xf numFmtId="0" fontId="4" fillId="0" borderId="0" xfId="1" applyAlignment="1">
      <alignment horizontal="center"/>
    </xf>
    <xf numFmtId="0" fontId="6" fillId="4" borderId="30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7" fillId="0" borderId="0" xfId="1" applyFont="1" applyFill="1" applyBorder="1" applyAlignment="1">
      <alignment vertical="top" wrapText="1"/>
    </xf>
    <xf numFmtId="0" fontId="6" fillId="0" borderId="0" xfId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1" applyFont="1" applyFill="1" applyBorder="1" applyAlignment="1">
      <alignment horizontal="left" vertical="top" wrapText="1"/>
    </xf>
    <xf numFmtId="0" fontId="6" fillId="0" borderId="0" xfId="1" applyFont="1" applyFill="1" applyBorder="1" applyAlignment="1" applyProtection="1">
      <alignment horizontal="center" vertical="top" wrapText="1"/>
      <protection locked="0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49" fontId="6" fillId="0" borderId="0" xfId="1" applyNumberFormat="1" applyFont="1" applyFill="1" applyBorder="1" applyAlignment="1" applyProtection="1">
      <alignment horizontal="center" vertical="top" wrapText="1"/>
      <protection locked="0"/>
    </xf>
    <xf numFmtId="49" fontId="4" fillId="0" borderId="0" xfId="1" applyNumberFormat="1" applyFill="1" applyBorder="1" applyAlignment="1" applyProtection="1">
      <alignment horizontal="center" vertical="top" wrapText="1"/>
      <protection locked="0"/>
    </xf>
    <xf numFmtId="0" fontId="13" fillId="0" borderId="0" xfId="1" applyFont="1" applyFill="1" applyBorder="1" applyAlignment="1" applyProtection="1">
      <alignment horizontal="center" vertical="top" wrapText="1"/>
      <protection locked="0"/>
    </xf>
    <xf numFmtId="49" fontId="6" fillId="0" borderId="94" xfId="1" applyNumberFormat="1" applyFont="1" applyBorder="1" applyAlignment="1" applyProtection="1">
      <alignment horizontal="center" vertical="top" wrapText="1"/>
      <protection locked="0"/>
    </xf>
    <xf numFmtId="49" fontId="4" fillId="0" borderId="97" xfId="1" applyNumberFormat="1" applyBorder="1" applyAlignment="1" applyProtection="1">
      <alignment horizontal="center" vertical="top" wrapText="1"/>
      <protection locked="0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4" borderId="30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4" borderId="30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6" fillId="4" borderId="30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4" borderId="30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14" fontId="1" fillId="0" borderId="0" xfId="4" applyNumberFormat="1" applyFont="1" applyBorder="1" applyAlignment="1">
      <alignment vertical="top"/>
    </xf>
    <xf numFmtId="0" fontId="6" fillId="4" borderId="31" xfId="0" applyFont="1" applyFill="1" applyBorder="1" applyAlignment="1">
      <alignment horizontal="center" vertical="top" wrapText="1"/>
    </xf>
    <xf numFmtId="0" fontId="6" fillId="4" borderId="35" xfId="0" applyFont="1" applyFill="1" applyBorder="1" applyAlignment="1">
      <alignment horizontal="center" vertical="top" wrapText="1"/>
    </xf>
    <xf numFmtId="0" fontId="6" fillId="4" borderId="28" xfId="0" applyFont="1" applyFill="1" applyBorder="1" applyAlignment="1">
      <alignment horizontal="center" vertical="top" wrapText="1"/>
    </xf>
    <xf numFmtId="0" fontId="6" fillId="4" borderId="7" xfId="0" applyFont="1" applyFill="1" applyBorder="1" applyAlignment="1">
      <alignment horizontal="center" vertical="top" wrapText="1"/>
    </xf>
    <xf numFmtId="0" fontId="14" fillId="0" borderId="16" xfId="1" applyFont="1" applyBorder="1" applyAlignment="1" applyProtection="1">
      <alignment horizontal="center" vertical="top" wrapText="1"/>
      <protection locked="0"/>
    </xf>
    <xf numFmtId="0" fontId="14" fillId="0" borderId="27" xfId="1" applyFont="1" applyBorder="1" applyAlignment="1" applyProtection="1">
      <alignment horizontal="center" vertical="top" wrapText="1"/>
      <protection locked="0"/>
    </xf>
    <xf numFmtId="49" fontId="6" fillId="0" borderId="21" xfId="1" applyNumberFormat="1" applyFont="1" applyBorder="1" applyAlignment="1" applyProtection="1">
      <alignment horizontal="center" vertical="top" wrapText="1"/>
      <protection locked="0"/>
    </xf>
    <xf numFmtId="49" fontId="6" fillId="0" borderId="1" xfId="1" applyNumberFormat="1" applyFont="1" applyBorder="1" applyAlignment="1" applyProtection="1">
      <alignment horizontal="center" vertical="top" wrapText="1"/>
      <protection locked="0"/>
    </xf>
    <xf numFmtId="0" fontId="6" fillId="0" borderId="34" xfId="1" applyFont="1" applyBorder="1" applyAlignment="1" applyProtection="1">
      <alignment horizontal="center" vertical="top" wrapText="1"/>
      <protection locked="0"/>
    </xf>
    <xf numFmtId="0" fontId="6" fillId="0" borderId="34" xfId="0" applyFont="1" applyBorder="1" applyAlignment="1" applyProtection="1">
      <alignment horizontal="center" vertical="top" wrapText="1"/>
      <protection locked="0"/>
    </xf>
    <xf numFmtId="0" fontId="6" fillId="0" borderId="23" xfId="0" applyFont="1" applyBorder="1" applyAlignment="1" applyProtection="1">
      <alignment horizontal="center" vertical="top" wrapText="1"/>
      <protection locked="0"/>
    </xf>
    <xf numFmtId="0" fontId="6" fillId="0" borderId="33" xfId="0" applyFont="1" applyBorder="1" applyAlignment="1" applyProtection="1">
      <alignment horizontal="center" vertical="top" wrapText="1"/>
      <protection locked="0"/>
    </xf>
    <xf numFmtId="0" fontId="6" fillId="2" borderId="18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5" fillId="4" borderId="28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49" fontId="10" fillId="0" borderId="21" xfId="1" applyNumberFormat="1" applyFont="1" applyBorder="1" applyAlignment="1" applyProtection="1">
      <alignment horizontal="center" vertical="top" wrapText="1"/>
      <protection locked="0"/>
    </xf>
    <xf numFmtId="49" fontId="10" fillId="0" borderId="1" xfId="1" applyNumberFormat="1" applyFont="1" applyBorder="1" applyAlignment="1" applyProtection="1">
      <alignment horizontal="center" vertical="top" wrapText="1"/>
      <protection locked="0"/>
    </xf>
    <xf numFmtId="0" fontId="6" fillId="4" borderId="30" xfId="1" applyFont="1" applyFill="1" applyBorder="1" applyAlignment="1">
      <alignment horizontal="center" vertical="top" wrapText="1"/>
    </xf>
    <xf numFmtId="0" fontId="6" fillId="4" borderId="30" xfId="0" applyFont="1" applyFill="1" applyBorder="1" applyAlignment="1">
      <alignment horizontal="center" vertical="top" wrapText="1"/>
    </xf>
    <xf numFmtId="0" fontId="6" fillId="4" borderId="32" xfId="0" applyFont="1" applyFill="1" applyBorder="1" applyAlignment="1">
      <alignment horizontal="center" vertical="top" wrapText="1"/>
    </xf>
    <xf numFmtId="0" fontId="6" fillId="0" borderId="36" xfId="0" applyFont="1" applyBorder="1" applyAlignment="1" applyProtection="1">
      <alignment horizontal="center" vertical="top" wrapText="1"/>
      <protection locked="0"/>
    </xf>
    <xf numFmtId="0" fontId="6" fillId="0" borderId="24" xfId="0" applyFont="1" applyBorder="1" applyAlignment="1" applyProtection="1">
      <alignment horizontal="center" vertical="top" wrapText="1"/>
      <protection locked="0"/>
    </xf>
    <xf numFmtId="0" fontId="6" fillId="4" borderId="15" xfId="0" applyFont="1" applyFill="1" applyBorder="1" applyAlignment="1">
      <alignment horizontal="center" vertical="top" wrapText="1"/>
    </xf>
    <xf numFmtId="0" fontId="6" fillId="4" borderId="66" xfId="0" applyFont="1" applyFill="1" applyBorder="1" applyAlignment="1">
      <alignment horizontal="center" vertical="top" wrapText="1"/>
    </xf>
    <xf numFmtId="0" fontId="6" fillId="4" borderId="22" xfId="0" applyFont="1" applyFill="1" applyBorder="1" applyAlignment="1">
      <alignment horizontal="center" vertical="top" wrapText="1"/>
    </xf>
    <xf numFmtId="0" fontId="6" fillId="4" borderId="15" xfId="1" applyFont="1" applyFill="1" applyBorder="1" applyAlignment="1">
      <alignment horizontal="center" vertical="top" wrapText="1"/>
    </xf>
    <xf numFmtId="0" fontId="6" fillId="4" borderId="67" xfId="1" applyFont="1" applyFill="1" applyBorder="1" applyAlignment="1">
      <alignment horizontal="center" vertical="top" wrapText="1"/>
    </xf>
    <xf numFmtId="0" fontId="6" fillId="0" borderId="23" xfId="1" applyFont="1" applyBorder="1" applyAlignment="1" applyProtection="1">
      <alignment horizontal="center" vertical="top" wrapText="1"/>
      <protection locked="0"/>
    </xf>
    <xf numFmtId="0" fontId="6" fillId="0" borderId="37" xfId="1" applyFont="1" applyBorder="1" applyAlignment="1" applyProtection="1">
      <alignment horizontal="center" vertical="top" wrapText="1"/>
      <protection locked="0"/>
    </xf>
    <xf numFmtId="0" fontId="6" fillId="4" borderId="23" xfId="0" applyFont="1" applyFill="1" applyBorder="1" applyAlignment="1">
      <alignment horizontal="center" vertical="top" wrapText="1"/>
    </xf>
    <xf numFmtId="0" fontId="6" fillId="4" borderId="37" xfId="0" applyFont="1" applyFill="1" applyBorder="1" applyAlignment="1">
      <alignment horizontal="center" vertical="top" wrapText="1"/>
    </xf>
    <xf numFmtId="0" fontId="6" fillId="4" borderId="25" xfId="0" applyFont="1" applyFill="1" applyBorder="1" applyAlignment="1">
      <alignment horizontal="center" vertical="top" wrapText="1"/>
    </xf>
    <xf numFmtId="0" fontId="6" fillId="4" borderId="26" xfId="0" applyFont="1" applyFill="1" applyBorder="1" applyAlignment="1">
      <alignment horizontal="center" vertical="top" wrapText="1"/>
    </xf>
    <xf numFmtId="49" fontId="6" fillId="0" borderId="21" xfId="1" applyNumberFormat="1" applyFont="1" applyFill="1" applyBorder="1" applyAlignment="1" applyProtection="1">
      <alignment horizontal="center" vertical="top" wrapText="1"/>
      <protection locked="0"/>
    </xf>
    <xf numFmtId="49" fontId="6" fillId="0" borderId="1" xfId="1" applyNumberFormat="1" applyFont="1" applyFill="1" applyBorder="1" applyAlignment="1" applyProtection="1">
      <alignment horizontal="center" vertical="top" wrapText="1"/>
      <protection locked="0"/>
    </xf>
    <xf numFmtId="0" fontId="6" fillId="0" borderId="23" xfId="1" applyFont="1" applyFill="1" applyBorder="1" applyAlignment="1" applyProtection="1">
      <alignment horizontal="center" vertical="top" wrapText="1"/>
      <protection locked="0"/>
    </xf>
    <xf numFmtId="0" fontId="6" fillId="0" borderId="37" xfId="1" applyFont="1" applyFill="1" applyBorder="1" applyAlignment="1" applyProtection="1">
      <alignment horizontal="center" vertical="top" wrapText="1"/>
      <protection locked="0"/>
    </xf>
    <xf numFmtId="0" fontId="6" fillId="2" borderId="93" xfId="1" applyFont="1" applyFill="1" applyBorder="1" applyAlignment="1">
      <alignment horizontal="left" vertical="top" wrapText="1"/>
    </xf>
    <xf numFmtId="0" fontId="14" fillId="0" borderId="95" xfId="1" applyFont="1" applyBorder="1" applyAlignment="1" applyProtection="1">
      <alignment horizontal="center" vertical="top" wrapText="1"/>
      <protection locked="0"/>
    </xf>
    <xf numFmtId="0" fontId="14" fillId="0" borderId="96" xfId="1" applyFont="1" applyBorder="1" applyAlignment="1" applyProtection="1">
      <alignment horizontal="center" vertical="top" wrapText="1"/>
      <protection locked="0"/>
    </xf>
    <xf numFmtId="49" fontId="10" fillId="0" borderId="98" xfId="1" applyNumberFormat="1" applyFont="1" applyBorder="1" applyAlignment="1" applyProtection="1">
      <alignment horizontal="center" vertical="top" wrapText="1"/>
      <protection locked="0"/>
    </xf>
    <xf numFmtId="49" fontId="10" fillId="0" borderId="99" xfId="1" applyNumberFormat="1" applyFont="1" applyBorder="1" applyAlignment="1" applyProtection="1">
      <alignment horizontal="center" vertical="top" wrapText="1"/>
      <protection locked="0"/>
    </xf>
    <xf numFmtId="49" fontId="35" fillId="0" borderId="21" xfId="1" applyNumberFormat="1" applyFont="1" applyBorder="1" applyAlignment="1" applyProtection="1">
      <alignment horizontal="center" vertical="top" wrapText="1"/>
      <protection locked="0"/>
    </xf>
    <xf numFmtId="49" fontId="35" fillId="0" borderId="1" xfId="1" applyNumberFormat="1" applyFont="1" applyBorder="1" applyAlignment="1" applyProtection="1">
      <alignment horizontal="center" vertical="top" wrapText="1"/>
      <protection locked="0"/>
    </xf>
    <xf numFmtId="49" fontId="10" fillId="0" borderId="21" xfId="1" applyNumberFormat="1" applyFont="1" applyFill="1" applyBorder="1" applyAlignment="1" applyProtection="1">
      <alignment horizontal="center" vertical="top" wrapText="1"/>
      <protection locked="0"/>
    </xf>
    <xf numFmtId="49" fontId="10" fillId="0" borderId="1" xfId="1" applyNumberFormat="1" applyFont="1" applyFill="1" applyBorder="1" applyAlignment="1" applyProtection="1">
      <alignment horizontal="center" vertical="top" wrapText="1"/>
      <protection locked="0"/>
    </xf>
    <xf numFmtId="49" fontId="6" fillId="0" borderId="83" xfId="1" applyNumberFormat="1" applyFont="1" applyBorder="1" applyAlignment="1" applyProtection="1">
      <alignment wrapText="1"/>
      <protection locked="0"/>
    </xf>
    <xf numFmtId="49" fontId="6" fillId="0" borderId="84" xfId="1" applyNumberFormat="1" applyFont="1" applyBorder="1" applyAlignment="1" applyProtection="1">
      <alignment wrapText="1"/>
      <protection locked="0"/>
    </xf>
    <xf numFmtId="49" fontId="35" fillId="0" borderId="92" xfId="1" applyNumberFormat="1" applyFont="1" applyFill="1" applyBorder="1" applyAlignment="1" applyProtection="1">
      <alignment horizontal="center" vertical="top" wrapText="1"/>
      <protection locked="0"/>
    </xf>
    <xf numFmtId="49" fontId="35" fillId="0" borderId="90" xfId="1" applyNumberFormat="1" applyFont="1" applyFill="1" applyBorder="1" applyAlignment="1" applyProtection="1">
      <alignment horizontal="center" vertical="top" wrapText="1"/>
      <protection locked="0"/>
    </xf>
    <xf numFmtId="0" fontId="14" fillId="0" borderId="92" xfId="1" applyFont="1" applyBorder="1" applyAlignment="1" applyProtection="1">
      <alignment horizontal="center" vertical="top" wrapText="1"/>
      <protection locked="0"/>
    </xf>
    <xf numFmtId="0" fontId="14" fillId="0" borderId="91" xfId="1" applyFont="1" applyBorder="1" applyAlignment="1" applyProtection="1">
      <alignment horizontal="center" vertical="top" wrapText="1"/>
      <protection locked="0"/>
    </xf>
    <xf numFmtId="49" fontId="33" fillId="0" borderId="69" xfId="1" applyNumberFormat="1" applyFont="1" applyBorder="1" applyAlignment="1" applyProtection="1">
      <alignment vertical="top" wrapText="1"/>
      <protection locked="0"/>
    </xf>
    <xf numFmtId="49" fontId="33" fillId="0" borderId="70" xfId="1" applyNumberFormat="1" applyFont="1" applyBorder="1" applyAlignment="1" applyProtection="1">
      <alignment vertical="top" wrapText="1"/>
      <protection locked="0"/>
    </xf>
    <xf numFmtId="49" fontId="33" fillId="0" borderId="90" xfId="1" applyNumberFormat="1" applyFont="1" applyBorder="1" applyAlignment="1" applyProtection="1">
      <alignment vertical="top" wrapText="1"/>
      <protection locked="0"/>
    </xf>
    <xf numFmtId="49" fontId="33" fillId="0" borderId="5" xfId="1" applyNumberFormat="1" applyFont="1" applyBorder="1" applyAlignment="1" applyProtection="1">
      <alignment vertical="top" wrapText="1"/>
      <protection locked="0"/>
    </xf>
    <xf numFmtId="49" fontId="33" fillId="0" borderId="4" xfId="1" applyNumberFormat="1" applyFont="1" applyBorder="1" applyAlignment="1" applyProtection="1">
      <alignment vertical="top" wrapText="1"/>
      <protection locked="0"/>
    </xf>
    <xf numFmtId="49" fontId="33" fillId="0" borderId="1" xfId="1" applyNumberFormat="1" applyFont="1" applyBorder="1" applyAlignment="1" applyProtection="1">
      <alignment vertical="top" wrapText="1"/>
      <protection locked="0"/>
    </xf>
    <xf numFmtId="0" fontId="34" fillId="0" borderId="69" xfId="1" applyFont="1" applyBorder="1" applyAlignment="1" applyProtection="1">
      <alignment vertical="top" wrapText="1"/>
      <protection locked="0"/>
    </xf>
    <xf numFmtId="0" fontId="34" fillId="0" borderId="70" xfId="1" applyFont="1" applyBorder="1" applyAlignment="1" applyProtection="1">
      <alignment vertical="top" wrapText="1"/>
      <protection locked="0"/>
    </xf>
    <xf numFmtId="0" fontId="34" fillId="0" borderId="90" xfId="1" applyFont="1" applyBorder="1" applyAlignment="1" applyProtection="1">
      <alignment vertical="top" wrapText="1"/>
      <protection locked="0"/>
    </xf>
    <xf numFmtId="0" fontId="31" fillId="0" borderId="69" xfId="1" applyFont="1" applyBorder="1" applyAlignment="1" applyProtection="1">
      <alignment vertical="top" wrapText="1"/>
      <protection locked="0"/>
    </xf>
    <xf numFmtId="0" fontId="31" fillId="0" borderId="70" xfId="1" applyFont="1" applyBorder="1" applyAlignment="1" applyProtection="1">
      <alignment vertical="top" wrapText="1"/>
      <protection locked="0"/>
    </xf>
    <xf numFmtId="0" fontId="31" fillId="0" borderId="91" xfId="1" applyFont="1" applyBorder="1" applyAlignment="1" applyProtection="1">
      <alignment vertical="top" wrapText="1"/>
      <protection locked="0"/>
    </xf>
    <xf numFmtId="49" fontId="7" fillId="0" borderId="92" xfId="1" applyNumberFormat="1" applyFont="1" applyBorder="1" applyAlignment="1" applyProtection="1">
      <alignment vertical="top" wrapText="1"/>
      <protection locked="0"/>
    </xf>
    <xf numFmtId="49" fontId="7" fillId="0" borderId="90" xfId="1" applyNumberFormat="1" applyFont="1" applyBorder="1" applyAlignment="1" applyProtection="1">
      <alignment vertical="top" wrapText="1"/>
      <protection locked="0"/>
    </xf>
    <xf numFmtId="14" fontId="26" fillId="0" borderId="9" xfId="1" applyNumberFormat="1" applyFont="1" applyBorder="1" applyAlignment="1">
      <alignment horizontal="center" wrapText="1"/>
    </xf>
    <xf numFmtId="14" fontId="26" fillId="0" borderId="3" xfId="1" applyNumberFormat="1" applyFont="1" applyBorder="1" applyAlignment="1">
      <alignment horizontal="center" wrapText="1"/>
    </xf>
    <xf numFmtId="14" fontId="26" fillId="0" borderId="2" xfId="1" applyNumberFormat="1" applyFont="1" applyBorder="1" applyAlignment="1">
      <alignment horizontal="center" wrapText="1"/>
    </xf>
    <xf numFmtId="14" fontId="5" fillId="0" borderId="25" xfId="1" applyNumberFormat="1" applyFont="1" applyBorder="1" applyAlignment="1" applyProtection="1">
      <alignment horizontal="center" wrapText="1"/>
      <protection locked="0"/>
    </xf>
    <xf numFmtId="14" fontId="5" fillId="0" borderId="26" xfId="1" applyNumberFormat="1" applyFont="1" applyBorder="1" applyAlignment="1" applyProtection="1">
      <alignment horizontal="center" wrapText="1"/>
      <protection locked="0"/>
    </xf>
    <xf numFmtId="0" fontId="5" fillId="0" borderId="15" xfId="1" quotePrefix="1" applyFont="1" applyBorder="1" applyAlignment="1" applyProtection="1">
      <alignment horizontal="center" wrapText="1"/>
      <protection locked="0"/>
    </xf>
    <xf numFmtId="0" fontId="5" fillId="0" borderId="22" xfId="1" applyFont="1" applyBorder="1" applyAlignment="1" applyProtection="1">
      <alignment horizontal="center" wrapText="1"/>
      <protection locked="0"/>
    </xf>
    <xf numFmtId="0" fontId="5" fillId="0" borderId="21" xfId="1" applyFont="1" applyBorder="1" applyAlignment="1" applyProtection="1">
      <alignment horizontal="center" vertical="top" wrapText="1"/>
      <protection locked="0"/>
    </xf>
    <xf numFmtId="0" fontId="5" fillId="0" borderId="1" xfId="1" applyFont="1" applyBorder="1" applyAlignment="1" applyProtection="1">
      <alignment horizontal="center" vertical="top" wrapText="1"/>
      <protection locked="0"/>
    </xf>
    <xf numFmtId="0" fontId="25" fillId="0" borderId="9" xfId="1" applyFont="1" applyBorder="1" applyAlignment="1">
      <alignment horizontal="center" wrapText="1"/>
    </xf>
    <xf numFmtId="0" fontId="25" fillId="0" borderId="3" xfId="1" applyFont="1" applyBorder="1" applyAlignment="1">
      <alignment horizontal="center" wrapText="1"/>
    </xf>
    <xf numFmtId="0" fontId="11" fillId="0" borderId="5" xfId="1" applyFont="1" applyBorder="1" applyAlignment="1">
      <alignment horizontal="center" wrapText="1"/>
    </xf>
    <xf numFmtId="0" fontId="11" fillId="0" borderId="4" xfId="1" applyFont="1" applyBorder="1" applyAlignment="1">
      <alignment horizontal="center" wrapText="1"/>
    </xf>
    <xf numFmtId="0" fontId="28" fillId="9" borderId="69" xfId="0" applyFont="1" applyFill="1" applyBorder="1" applyAlignment="1">
      <alignment horizontal="center" vertical="top" wrapText="1"/>
    </xf>
    <xf numFmtId="0" fontId="28" fillId="9" borderId="70" xfId="0" applyFont="1" applyFill="1" applyBorder="1" applyAlignment="1">
      <alignment horizontal="center" vertical="top" wrapText="1"/>
    </xf>
    <xf numFmtId="0" fontId="28" fillId="9" borderId="4" xfId="0" applyFont="1" applyFill="1" applyBorder="1" applyAlignment="1">
      <alignment horizontal="center" vertical="top" wrapText="1"/>
    </xf>
    <xf numFmtId="0" fontId="28" fillId="9" borderId="1" xfId="0" applyFont="1" applyFill="1" applyBorder="1" applyAlignment="1">
      <alignment horizontal="center" vertical="top" wrapText="1"/>
    </xf>
    <xf numFmtId="0" fontId="7" fillId="0" borderId="23" xfId="1" applyFont="1" applyBorder="1" applyAlignment="1" applyProtection="1">
      <alignment horizontal="center" vertical="top" wrapText="1"/>
      <protection locked="0"/>
    </xf>
    <xf numFmtId="0" fontId="7" fillId="0" borderId="24" xfId="1" applyFont="1" applyBorder="1" applyAlignment="1" applyProtection="1">
      <alignment horizontal="center" vertical="top" wrapText="1"/>
      <protection locked="0"/>
    </xf>
    <xf numFmtId="49" fontId="7" fillId="0" borderId="4" xfId="1" applyNumberFormat="1" applyFont="1" applyBorder="1" applyAlignment="1" applyProtection="1">
      <alignment horizontal="left" vertical="top" wrapText="1"/>
      <protection locked="0"/>
    </xf>
    <xf numFmtId="49" fontId="7" fillId="0" borderId="1" xfId="1" applyNumberFormat="1" applyFont="1" applyBorder="1" applyAlignment="1" applyProtection="1">
      <alignment horizontal="left" vertical="top" wrapText="1"/>
      <protection locked="0"/>
    </xf>
    <xf numFmtId="0" fontId="7" fillId="0" borderId="3" xfId="1" applyFont="1" applyBorder="1" applyAlignment="1" applyProtection="1">
      <alignment horizontal="left" vertical="top" wrapText="1"/>
      <protection locked="0"/>
    </xf>
    <xf numFmtId="0" fontId="7" fillId="0" borderId="2" xfId="1" applyFont="1" applyBorder="1" applyAlignment="1" applyProtection="1">
      <alignment horizontal="left" vertical="top" wrapText="1"/>
      <protection locked="0"/>
    </xf>
    <xf numFmtId="0" fontId="7" fillId="0" borderId="0" xfId="1" applyFont="1" applyFill="1" applyBorder="1" applyAlignment="1" applyProtection="1">
      <alignment horizontal="left" vertical="top" wrapText="1"/>
      <protection locked="0"/>
    </xf>
    <xf numFmtId="0" fontId="7" fillId="0" borderId="7" xfId="1" applyFont="1" applyFill="1" applyBorder="1" applyAlignment="1" applyProtection="1">
      <alignment horizontal="left" vertical="top" wrapText="1"/>
      <protection locked="0"/>
    </xf>
    <xf numFmtId="0" fontId="6" fillId="0" borderId="0" xfId="1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14" fillId="0" borderId="0" xfId="1" applyFont="1" applyFill="1" applyBorder="1" applyAlignment="1" applyProtection="1">
      <alignment horizontal="center" vertical="top" wrapText="1"/>
      <protection locked="0"/>
    </xf>
    <xf numFmtId="49" fontId="10" fillId="0" borderId="0" xfId="1" applyNumberFormat="1" applyFont="1" applyFill="1" applyBorder="1" applyAlignment="1" applyProtection="1">
      <alignment horizontal="center" vertical="top" wrapText="1"/>
      <protection locked="0"/>
    </xf>
    <xf numFmtId="0" fontId="6" fillId="0" borderId="0" xfId="1" applyFont="1" applyFill="1" applyBorder="1" applyAlignment="1">
      <alignment horizontal="center" vertical="top" wrapText="1"/>
    </xf>
    <xf numFmtId="0" fontId="6" fillId="0" borderId="0" xfId="1" applyFont="1" applyFill="1" applyBorder="1" applyAlignment="1" applyProtection="1">
      <alignment horizontal="center" vertical="top" wrapText="1"/>
      <protection locked="0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0" fontId="6" fillId="0" borderId="78" xfId="1" applyFont="1" applyBorder="1" applyAlignment="1" applyProtection="1">
      <alignment vertical="top" wrapText="1"/>
      <protection locked="0"/>
    </xf>
    <xf numFmtId="0" fontId="6" fillId="0" borderId="79" xfId="1" applyFont="1" applyBorder="1" applyAlignment="1" applyProtection="1">
      <alignment vertical="top" wrapText="1"/>
      <protection locked="0"/>
    </xf>
    <xf numFmtId="0" fontId="6" fillId="0" borderId="80" xfId="1" applyFont="1" applyBorder="1" applyAlignment="1" applyProtection="1">
      <alignment vertical="top" wrapText="1"/>
      <protection locked="0"/>
    </xf>
    <xf numFmtId="49" fontId="6" fillId="0" borderId="78" xfId="1" applyNumberFormat="1" applyFont="1" applyBorder="1" applyAlignment="1" applyProtection="1">
      <alignment wrapText="1"/>
      <protection locked="0"/>
    </xf>
    <xf numFmtId="49" fontId="6" fillId="0" borderId="79" xfId="1" applyNumberFormat="1" applyFont="1" applyBorder="1" applyAlignment="1" applyProtection="1">
      <alignment wrapText="1"/>
      <protection locked="0"/>
    </xf>
    <xf numFmtId="49" fontId="6" fillId="0" borderId="80" xfId="1" applyNumberFormat="1" applyFont="1" applyBorder="1" applyAlignment="1" applyProtection="1">
      <alignment wrapText="1"/>
      <protection locked="0"/>
    </xf>
    <xf numFmtId="0" fontId="6" fillId="0" borderId="82" xfId="1" applyFont="1" applyBorder="1" applyAlignment="1" applyProtection="1">
      <alignment vertical="top" wrapText="1"/>
      <protection locked="0"/>
    </xf>
    <xf numFmtId="0" fontId="6" fillId="0" borderId="85" xfId="1" applyFont="1" applyBorder="1" applyAlignment="1" applyProtection="1">
      <alignment vertical="top" wrapText="1"/>
      <protection locked="0"/>
    </xf>
    <xf numFmtId="0" fontId="6" fillId="0" borderId="86" xfId="1" applyFont="1" applyBorder="1" applyAlignment="1" applyProtection="1">
      <alignment vertical="top" wrapText="1"/>
      <protection locked="0"/>
    </xf>
    <xf numFmtId="49" fontId="6" fillId="0" borderId="86" xfId="1" applyNumberFormat="1" applyFont="1" applyBorder="1" applyAlignment="1" applyProtection="1">
      <alignment wrapText="1"/>
      <protection locked="0"/>
    </xf>
    <xf numFmtId="49" fontId="6" fillId="0" borderId="88" xfId="1" applyNumberFormat="1" applyFont="1" applyBorder="1" applyAlignment="1" applyProtection="1">
      <alignment wrapText="1"/>
      <protection locked="0"/>
    </xf>
    <xf numFmtId="0" fontId="31" fillId="0" borderId="78" xfId="1" applyFont="1" applyBorder="1" applyAlignment="1">
      <alignment vertical="top" wrapText="1"/>
    </xf>
    <xf numFmtId="0" fontId="31" fillId="0" borderId="79" xfId="1" applyFont="1" applyBorder="1" applyAlignment="1">
      <alignment vertical="top" wrapText="1"/>
    </xf>
    <xf numFmtId="0" fontId="31" fillId="0" borderId="80" xfId="1" applyFont="1" applyBorder="1" applyAlignment="1">
      <alignment vertical="top" wrapText="1"/>
    </xf>
    <xf numFmtId="0" fontId="31" fillId="0" borderId="82" xfId="1" applyFont="1" applyBorder="1" applyAlignment="1">
      <alignment vertical="top" wrapText="1"/>
    </xf>
    <xf numFmtId="0" fontId="31" fillId="0" borderId="89" xfId="1" applyFont="1" applyBorder="1" applyAlignment="1">
      <alignment vertical="top" wrapText="1"/>
    </xf>
    <xf numFmtId="0" fontId="28" fillId="9" borderId="90" xfId="0" applyFont="1" applyFill="1" applyBorder="1" applyAlignment="1">
      <alignment horizontal="center" vertical="top" wrapText="1"/>
    </xf>
    <xf numFmtId="0" fontId="15" fillId="0" borderId="38" xfId="1" applyFont="1" applyBorder="1" applyAlignment="1">
      <alignment horizontal="center" vertical="center"/>
    </xf>
    <xf numFmtId="0" fontId="15" fillId="0" borderId="39" xfId="1" applyFont="1" applyBorder="1" applyAlignment="1">
      <alignment horizontal="center" vertical="center"/>
    </xf>
    <xf numFmtId="0" fontId="15" fillId="0" borderId="40" xfId="1" applyFont="1" applyBorder="1" applyAlignment="1">
      <alignment horizontal="center" vertical="center"/>
    </xf>
    <xf numFmtId="0" fontId="16" fillId="5" borderId="41" xfId="1" applyFont="1" applyFill="1" applyBorder="1" applyAlignment="1">
      <alignment horizontal="center" vertical="center" wrapText="1"/>
    </xf>
    <xf numFmtId="0" fontId="16" fillId="5" borderId="42" xfId="1" applyFont="1" applyFill="1" applyBorder="1" applyAlignment="1">
      <alignment horizontal="center" vertical="center" wrapText="1"/>
    </xf>
    <xf numFmtId="0" fontId="16" fillId="5" borderId="43" xfId="1" applyFont="1" applyFill="1" applyBorder="1" applyAlignment="1">
      <alignment horizontal="center" vertical="center" wrapText="1"/>
    </xf>
    <xf numFmtId="0" fontId="17" fillId="5" borderId="41" xfId="1" applyFont="1" applyFill="1" applyBorder="1" applyAlignment="1">
      <alignment horizontal="center" vertical="center" wrapText="1"/>
    </xf>
    <xf numFmtId="0" fontId="17" fillId="5" borderId="42" xfId="1" applyFont="1" applyFill="1" applyBorder="1" applyAlignment="1">
      <alignment horizontal="center" vertical="center" wrapText="1"/>
    </xf>
    <xf numFmtId="0" fontId="17" fillId="5" borderId="44" xfId="1" applyFont="1" applyFill="1" applyBorder="1" applyAlignment="1">
      <alignment horizontal="center" vertical="center" wrapText="1"/>
    </xf>
    <xf numFmtId="0" fontId="18" fillId="5" borderId="45" xfId="1" applyFont="1" applyFill="1" applyBorder="1" applyAlignment="1">
      <alignment horizontal="center" vertical="center" wrapText="1"/>
    </xf>
    <xf numFmtId="0" fontId="18" fillId="5" borderId="42" xfId="1" applyFont="1" applyFill="1" applyBorder="1" applyAlignment="1">
      <alignment horizontal="center" vertical="center" wrapText="1"/>
    </xf>
    <xf numFmtId="0" fontId="18" fillId="5" borderId="43" xfId="1" applyFont="1" applyFill="1" applyBorder="1" applyAlignment="1">
      <alignment horizontal="center" vertical="center" wrapText="1"/>
    </xf>
  </cellXfs>
  <cellStyles count="11">
    <cellStyle name="Link" xfId="5" builtinId="8"/>
    <cellStyle name="P2_Autopopulate" xfId="2" xr:uid="{00000000-0005-0000-0000-000001000000}"/>
    <cellStyle name="Standard" xfId="0" builtinId="0"/>
    <cellStyle name="Standard 2" xfId="1" xr:uid="{00000000-0005-0000-0000-000003000000}"/>
    <cellStyle name="Standard 2 2" xfId="6" xr:uid="{00000000-0005-0000-0000-000004000000}"/>
    <cellStyle name="Standard 3" xfId="3" xr:uid="{00000000-0005-0000-0000-000005000000}"/>
    <cellStyle name="Standard 3 2" xfId="7" xr:uid="{CCFACC8C-3217-41C2-B389-AFF1816E3F22}"/>
    <cellStyle name="Standard 4" xfId="4" xr:uid="{00000000-0005-0000-0000-000006000000}"/>
    <cellStyle name="Standard 4 2" xfId="8" xr:uid="{BDD4A5DD-EB7A-4312-B276-7D046B3260CF}"/>
    <cellStyle name="Standard 4 2 2" xfId="10" xr:uid="{5954BA5C-F6C3-417D-980C-036B33AD3344}"/>
    <cellStyle name="Standard 4 3" xfId="9" xr:uid="{C0150BDC-2DAE-40A9-BD8F-A59BD8B0D656}"/>
  </cellStyles>
  <dxfs count="0"/>
  <tableStyles count="0" defaultTableStyle="TableStyleMedium9" defaultPivotStyle="PivotStyleLight16"/>
  <colors>
    <mruColors>
      <color rgb="FF295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64_220729\_Production\DocuShare\Phase1_RN_AIVI2_SPL_TMP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L"/>
      <sheetName val="History"/>
      <sheetName val="Template_History"/>
    </sheetNames>
    <sheetDataSet>
      <sheetData sheetId="0"/>
      <sheetData sheetId="1"/>
      <sheetData sheetId="2">
        <row r="4">
          <cell r="D4">
            <v>44650</v>
          </cell>
          <cell r="E4" t="str">
            <v>01.03</v>
          </cell>
          <cell r="F4" t="str">
            <v>REL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topLeftCell="A64" zoomScale="115" zoomScaleNormal="115" workbookViewId="0">
      <selection activeCell="C70" sqref="C70:D70"/>
    </sheetView>
  </sheetViews>
  <sheetFormatPr baseColWidth="10" defaultColWidth="11.5546875" defaultRowHeight="13.2" x14ac:dyDescent="0.25"/>
  <cols>
    <col min="1" max="1" width="32.88671875" style="1" customWidth="1"/>
    <col min="2" max="2" width="15.5546875" style="1" customWidth="1"/>
    <col min="3" max="3" width="14.6640625" style="1" customWidth="1"/>
    <col min="4" max="4" width="23.44140625" style="1" customWidth="1"/>
    <col min="5" max="6" width="14.6640625" style="1" customWidth="1"/>
    <col min="7" max="7" width="13.6640625" style="1" customWidth="1"/>
    <col min="8" max="8" width="10.88671875" style="1" customWidth="1"/>
    <col min="9" max="9" width="9.33203125" style="1" customWidth="1"/>
    <col min="10" max="10" width="3.88671875" style="1" customWidth="1"/>
    <col min="11" max="11" width="6" style="1" customWidth="1"/>
    <col min="12" max="12" width="52.88671875" style="1" customWidth="1"/>
    <col min="13" max="16384" width="11.5546875" style="1"/>
  </cols>
  <sheetData>
    <row r="1" spans="1:12" s="119" customFormat="1" ht="21.75" customHeight="1" x14ac:dyDescent="0.4">
      <c r="A1" s="152"/>
      <c r="B1" s="309" t="s">
        <v>128</v>
      </c>
      <c r="C1" s="310"/>
      <c r="D1" s="310"/>
      <c r="E1" s="310"/>
      <c r="F1" s="310"/>
      <c r="G1" s="300" t="s">
        <v>129</v>
      </c>
      <c r="H1" s="301"/>
      <c r="I1" s="302"/>
    </row>
    <row r="2" spans="1:12" s="119" customFormat="1" ht="26.25" customHeight="1" thickBot="1" x14ac:dyDescent="0.4">
      <c r="A2" s="153"/>
      <c r="B2" s="311" t="s">
        <v>130</v>
      </c>
      <c r="C2" s="312"/>
      <c r="D2" s="312"/>
      <c r="E2" s="312"/>
      <c r="F2" s="312"/>
      <c r="G2" s="154">
        <f>[1]Template_History!D4</f>
        <v>44650</v>
      </c>
      <c r="H2" s="155" t="str">
        <f>[1]Template_History!E4</f>
        <v>01.03</v>
      </c>
      <c r="I2" s="156" t="str">
        <f>[1]Template_History!F4</f>
        <v>REL</v>
      </c>
    </row>
    <row r="3" spans="1:12" customFormat="1" ht="15.75" customHeight="1" thickBot="1" x14ac:dyDescent="0.3">
      <c r="A3" s="313" t="s">
        <v>131</v>
      </c>
      <c r="B3" s="314"/>
      <c r="C3" s="314"/>
      <c r="D3" s="314"/>
      <c r="E3" s="314"/>
      <c r="F3" s="314"/>
      <c r="G3" s="315"/>
      <c r="H3" s="315"/>
      <c r="I3" s="316"/>
      <c r="K3" s="119"/>
      <c r="L3" s="119"/>
    </row>
    <row r="4" spans="1:12" s="119" customFormat="1" ht="12.75" customHeight="1" x14ac:dyDescent="0.25">
      <c r="A4" s="157" t="s">
        <v>132</v>
      </c>
      <c r="B4" s="321" t="s">
        <v>167</v>
      </c>
      <c r="C4" s="321"/>
      <c r="D4" s="321"/>
      <c r="E4" s="321"/>
      <c r="F4" s="322"/>
      <c r="G4" s="158" t="s">
        <v>133</v>
      </c>
      <c r="H4" s="305"/>
      <c r="I4" s="306"/>
    </row>
    <row r="5" spans="1:12" s="119" customFormat="1" ht="13.5" customHeight="1" x14ac:dyDescent="0.25">
      <c r="A5" s="159" t="s">
        <v>134</v>
      </c>
      <c r="B5" s="323" t="s">
        <v>168</v>
      </c>
      <c r="C5" s="323"/>
      <c r="D5" s="323"/>
      <c r="E5" s="323"/>
      <c r="F5" s="324"/>
      <c r="G5" s="160" t="s">
        <v>135</v>
      </c>
      <c r="H5" s="317" t="s">
        <v>136</v>
      </c>
      <c r="I5" s="318"/>
      <c r="K5" s="161"/>
    </row>
    <row r="6" spans="1:12" s="119" customFormat="1" ht="13.5" customHeight="1" x14ac:dyDescent="0.25">
      <c r="A6" s="162" t="s">
        <v>137</v>
      </c>
      <c r="B6" s="323" t="s">
        <v>169</v>
      </c>
      <c r="C6" s="323"/>
      <c r="D6" s="323"/>
      <c r="E6" s="323"/>
      <c r="F6" s="324"/>
      <c r="G6" s="163" t="s">
        <v>138</v>
      </c>
      <c r="H6" s="303"/>
      <c r="I6" s="304"/>
    </row>
    <row r="7" spans="1:12" s="119" customFormat="1" ht="69.75" customHeight="1" thickBot="1" x14ac:dyDescent="0.3">
      <c r="A7" s="164" t="s">
        <v>139</v>
      </c>
      <c r="B7" s="319" t="s">
        <v>140</v>
      </c>
      <c r="C7" s="319"/>
      <c r="D7" s="319"/>
      <c r="E7" s="319"/>
      <c r="F7" s="320"/>
      <c r="G7" s="165" t="s">
        <v>141</v>
      </c>
      <c r="H7" s="307"/>
      <c r="I7" s="308"/>
    </row>
    <row r="8" spans="1:12" s="119" customFormat="1" ht="13.8" thickBot="1" x14ac:dyDescent="0.3">
      <c r="A8" s="166" t="s">
        <v>142</v>
      </c>
      <c r="B8" s="167"/>
      <c r="C8" s="168" t="s">
        <v>143</v>
      </c>
      <c r="D8" s="169" t="s">
        <v>144</v>
      </c>
      <c r="E8" s="169" t="s">
        <v>145</v>
      </c>
      <c r="F8" s="170" t="s">
        <v>146</v>
      </c>
      <c r="G8" s="169"/>
      <c r="H8" s="170"/>
      <c r="I8" s="171"/>
    </row>
    <row r="9" spans="1:12" s="119" customFormat="1" x14ac:dyDescent="0.25">
      <c r="A9" s="172" t="s">
        <v>147</v>
      </c>
      <c r="B9" s="173"/>
      <c r="C9" s="174"/>
      <c r="D9" s="175"/>
      <c r="E9" s="176" t="s">
        <v>146</v>
      </c>
      <c r="F9" s="170"/>
      <c r="G9" s="169"/>
      <c r="H9" s="170"/>
      <c r="I9" s="171"/>
    </row>
    <row r="10" spans="1:12" s="119" customFormat="1" x14ac:dyDescent="0.25">
      <c r="A10" s="177"/>
      <c r="B10" s="178"/>
      <c r="C10" s="179"/>
      <c r="D10" s="180"/>
      <c r="E10" s="180"/>
      <c r="F10" s="181"/>
      <c r="G10" s="180"/>
      <c r="H10" s="181"/>
      <c r="I10" s="182"/>
    </row>
    <row r="11" spans="1:12" s="119" customFormat="1" ht="13.8" thickBot="1" x14ac:dyDescent="0.3">
      <c r="A11" s="177"/>
      <c r="F11" s="183"/>
      <c r="G11" s="183"/>
      <c r="H11" s="183"/>
      <c r="I11" s="184"/>
    </row>
    <row r="12" spans="1:12" s="119" customFormat="1" ht="12.75" customHeight="1" x14ac:dyDescent="0.25">
      <c r="A12" s="185" t="s">
        <v>148</v>
      </c>
      <c r="B12" s="333" t="s">
        <v>160</v>
      </c>
      <c r="C12" s="334"/>
      <c r="D12" s="334"/>
      <c r="E12" s="335"/>
      <c r="F12" s="186" t="s">
        <v>149</v>
      </c>
      <c r="G12" s="336"/>
      <c r="H12" s="337"/>
      <c r="I12" s="338"/>
    </row>
    <row r="13" spans="1:12" s="119" customFormat="1" ht="12.75" customHeight="1" x14ac:dyDescent="0.25">
      <c r="A13" s="187" t="s">
        <v>150</v>
      </c>
      <c r="B13" s="339" t="s">
        <v>161</v>
      </c>
      <c r="C13" s="339"/>
      <c r="D13" s="339"/>
      <c r="E13" s="339"/>
      <c r="F13" s="188" t="s">
        <v>149</v>
      </c>
      <c r="G13" s="280" t="s">
        <v>162</v>
      </c>
      <c r="H13" s="280"/>
      <c r="I13" s="281"/>
    </row>
    <row r="14" spans="1:12" s="119" customFormat="1" ht="27" customHeight="1" x14ac:dyDescent="0.25">
      <c r="A14" s="187" t="s">
        <v>151</v>
      </c>
      <c r="B14" s="339" t="s">
        <v>163</v>
      </c>
      <c r="C14" s="339"/>
      <c r="D14" s="339"/>
      <c r="E14" s="339"/>
      <c r="F14" s="188" t="s">
        <v>149</v>
      </c>
      <c r="G14" s="280" t="s">
        <v>164</v>
      </c>
      <c r="H14" s="280"/>
      <c r="I14" s="281"/>
    </row>
    <row r="15" spans="1:12" s="119" customFormat="1" ht="13.5" customHeight="1" thickBot="1" x14ac:dyDescent="0.3">
      <c r="A15" s="189" t="s">
        <v>152</v>
      </c>
      <c r="B15" s="340" t="s">
        <v>165</v>
      </c>
      <c r="C15" s="341"/>
      <c r="D15" s="341"/>
      <c r="E15" s="341"/>
      <c r="F15" s="190" t="s">
        <v>149</v>
      </c>
      <c r="G15" s="342" t="s">
        <v>166</v>
      </c>
      <c r="H15" s="342"/>
      <c r="I15" s="343"/>
    </row>
    <row r="16" spans="1:12" s="119" customFormat="1" ht="12.75" customHeight="1" x14ac:dyDescent="0.25">
      <c r="A16" s="187" t="s">
        <v>153</v>
      </c>
      <c r="B16" s="344"/>
      <c r="C16" s="345"/>
      <c r="D16" s="345"/>
      <c r="E16" s="345"/>
      <c r="F16" s="345"/>
      <c r="G16" s="345"/>
      <c r="H16" s="345"/>
      <c r="I16" s="346"/>
    </row>
    <row r="17" spans="1:12" s="119" customFormat="1" ht="12.75" customHeight="1" thickBot="1" x14ac:dyDescent="0.3">
      <c r="A17" s="189" t="s">
        <v>154</v>
      </c>
      <c r="B17" s="347"/>
      <c r="C17" s="347"/>
      <c r="D17" s="347"/>
      <c r="E17" s="347"/>
      <c r="F17" s="347"/>
      <c r="G17" s="347"/>
      <c r="H17" s="347"/>
      <c r="I17" s="348"/>
    </row>
    <row r="18" spans="1:12" customFormat="1" ht="15.75" customHeight="1" thickBot="1" x14ac:dyDescent="0.3">
      <c r="A18" s="313" t="s">
        <v>155</v>
      </c>
      <c r="B18" s="314"/>
      <c r="C18" s="314"/>
      <c r="D18" s="314"/>
      <c r="E18" s="314"/>
      <c r="F18" s="314"/>
      <c r="G18" s="314"/>
      <c r="H18" s="314"/>
      <c r="I18" s="349"/>
    </row>
    <row r="19" spans="1:12" s="119" customFormat="1" ht="16.2" thickBot="1" x14ac:dyDescent="0.3">
      <c r="A19" s="191" t="s">
        <v>172</v>
      </c>
      <c r="B19" s="286"/>
      <c r="C19" s="287"/>
      <c r="D19" s="287"/>
      <c r="E19" s="287"/>
      <c r="F19" s="287"/>
      <c r="G19" s="287"/>
      <c r="H19" s="287"/>
      <c r="I19" s="288"/>
    </row>
    <row r="20" spans="1:12" s="119" customFormat="1" ht="16.2" thickBot="1" x14ac:dyDescent="0.3">
      <c r="A20" s="191" t="s">
        <v>156</v>
      </c>
      <c r="B20" s="289"/>
      <c r="C20" s="290"/>
      <c r="D20" s="290"/>
      <c r="E20" s="290"/>
      <c r="F20" s="290"/>
      <c r="G20" s="290"/>
      <c r="H20" s="290"/>
      <c r="I20" s="291"/>
    </row>
    <row r="21" spans="1:12" s="119" customFormat="1" ht="16.2" thickBot="1" x14ac:dyDescent="0.3">
      <c r="A21" s="192" t="s">
        <v>157</v>
      </c>
      <c r="B21" s="292"/>
      <c r="C21" s="293"/>
      <c r="D21" s="293"/>
      <c r="E21" s="293"/>
      <c r="F21" s="293"/>
      <c r="G21" s="293"/>
      <c r="H21" s="293"/>
      <c r="I21" s="294"/>
    </row>
    <row r="22" spans="1:12" s="119" customFormat="1" ht="16.5" customHeight="1" thickBot="1" x14ac:dyDescent="0.3">
      <c r="A22" s="192" t="s">
        <v>158</v>
      </c>
      <c r="B22" s="286"/>
      <c r="C22" s="287"/>
      <c r="D22" s="287"/>
      <c r="E22" s="287"/>
      <c r="F22" s="287"/>
      <c r="G22" s="287"/>
      <c r="H22" s="287"/>
      <c r="I22" s="288"/>
      <c r="L22" s="194"/>
    </row>
    <row r="23" spans="1:12" s="119" customFormat="1" ht="19.5" customHeight="1" thickBot="1" x14ac:dyDescent="0.3">
      <c r="A23" s="193" t="s">
        <v>173</v>
      </c>
      <c r="B23" s="295"/>
      <c r="C23" s="296"/>
      <c r="D23" s="296"/>
      <c r="E23" s="296"/>
      <c r="F23" s="296"/>
      <c r="G23" s="297"/>
      <c r="H23" s="298"/>
      <c r="I23" s="299"/>
    </row>
    <row r="24" spans="1:12" s="119" customFormat="1" ht="19.5" customHeight="1" thickBot="1" x14ac:dyDescent="0.3">
      <c r="A24" s="193" t="s">
        <v>159</v>
      </c>
      <c r="B24" s="295"/>
      <c r="C24" s="296"/>
      <c r="D24" s="296"/>
      <c r="E24" s="296"/>
      <c r="F24" s="296"/>
      <c r="G24" s="297"/>
      <c r="H24" s="298"/>
      <c r="I24" s="299"/>
    </row>
    <row r="25" spans="1:12" s="119" customFormat="1" ht="12.75" customHeight="1" x14ac:dyDescent="0.25">
      <c r="A25" s="134" t="s">
        <v>112</v>
      </c>
      <c r="B25" s="135" t="s">
        <v>7</v>
      </c>
      <c r="C25" s="259" t="s">
        <v>8</v>
      </c>
      <c r="D25" s="260"/>
      <c r="E25" s="149" t="s">
        <v>9</v>
      </c>
      <c r="F25" s="149" t="s">
        <v>10</v>
      </c>
      <c r="G25" s="256" t="s">
        <v>0</v>
      </c>
      <c r="H25" s="257"/>
      <c r="I25" s="258"/>
    </row>
    <row r="26" spans="1:12" s="119" customFormat="1" ht="12.75" customHeight="1" x14ac:dyDescent="0.25">
      <c r="A26" s="133" t="s">
        <v>4</v>
      </c>
      <c r="B26" s="141" t="s">
        <v>28</v>
      </c>
      <c r="C26" s="261" t="s">
        <v>93</v>
      </c>
      <c r="D26" s="262"/>
      <c r="E26" s="151" t="s">
        <v>30</v>
      </c>
      <c r="F26" s="151" t="s">
        <v>101</v>
      </c>
      <c r="G26" s="243" t="s">
        <v>29</v>
      </c>
      <c r="H26" s="254"/>
      <c r="I26" s="255"/>
    </row>
    <row r="27" spans="1:12" s="119" customFormat="1" ht="24" customHeight="1" thickBot="1" x14ac:dyDescent="0.3">
      <c r="A27" s="146" t="s">
        <v>3</v>
      </c>
      <c r="B27" s="135" t="s">
        <v>11</v>
      </c>
      <c r="C27" s="263" t="s">
        <v>6</v>
      </c>
      <c r="D27" s="264"/>
      <c r="E27" s="150" t="s">
        <v>5</v>
      </c>
      <c r="F27" s="135" t="s">
        <v>1</v>
      </c>
      <c r="G27" s="148" t="s">
        <v>2</v>
      </c>
      <c r="H27" s="265" t="s">
        <v>12</v>
      </c>
      <c r="I27" s="266"/>
    </row>
    <row r="28" spans="1:12" s="119" customFormat="1" ht="127.5" customHeight="1" thickBot="1" x14ac:dyDescent="0.3">
      <c r="A28" s="147"/>
      <c r="B28" s="129" t="s">
        <v>91</v>
      </c>
      <c r="C28" s="284"/>
      <c r="D28" s="285"/>
      <c r="E28" s="93"/>
      <c r="F28" s="126"/>
      <c r="G28" s="125" t="s">
        <v>92</v>
      </c>
      <c r="H28" s="282"/>
      <c r="I28" s="283"/>
    </row>
    <row r="29" spans="1:12" s="119" customFormat="1" ht="12.75" customHeight="1" x14ac:dyDescent="0.25">
      <c r="A29" s="134" t="s">
        <v>114</v>
      </c>
      <c r="B29" s="135" t="s">
        <v>7</v>
      </c>
      <c r="C29" s="259" t="s">
        <v>8</v>
      </c>
      <c r="D29" s="260"/>
      <c r="E29" s="149" t="s">
        <v>9</v>
      </c>
      <c r="F29" s="149" t="s">
        <v>10</v>
      </c>
      <c r="G29" s="256" t="s">
        <v>0</v>
      </c>
      <c r="H29" s="257"/>
      <c r="I29" s="258"/>
    </row>
    <row r="30" spans="1:12" s="119" customFormat="1" ht="12.75" customHeight="1" x14ac:dyDescent="0.25">
      <c r="A30" s="133" t="s">
        <v>4</v>
      </c>
      <c r="B30" s="141" t="s">
        <v>28</v>
      </c>
      <c r="C30" s="261" t="s">
        <v>93</v>
      </c>
      <c r="D30" s="262"/>
      <c r="E30" s="151" t="s">
        <v>30</v>
      </c>
      <c r="F30" s="151" t="s">
        <v>101</v>
      </c>
      <c r="G30" s="243" t="s">
        <v>29</v>
      </c>
      <c r="H30" s="254"/>
      <c r="I30" s="255"/>
    </row>
    <row r="31" spans="1:12" ht="24" customHeight="1" x14ac:dyDescent="0.25">
      <c r="A31" s="83" t="s">
        <v>3</v>
      </c>
      <c r="B31" s="6" t="s">
        <v>11</v>
      </c>
      <c r="C31" s="263" t="s">
        <v>6</v>
      </c>
      <c r="D31" s="264"/>
      <c r="E31" s="86" t="s">
        <v>5</v>
      </c>
      <c r="F31" s="6" t="s">
        <v>1</v>
      </c>
      <c r="G31" s="148" t="s">
        <v>2</v>
      </c>
      <c r="H31" s="265" t="s">
        <v>12</v>
      </c>
      <c r="I31" s="266"/>
    </row>
    <row r="32" spans="1:12" ht="111" customHeight="1" thickBot="1" x14ac:dyDescent="0.3">
      <c r="A32" s="84"/>
      <c r="B32" s="78" t="s">
        <v>107</v>
      </c>
      <c r="C32" s="237"/>
      <c r="D32" s="238"/>
      <c r="E32" s="81"/>
      <c r="F32" s="80"/>
      <c r="G32" s="144" t="s">
        <v>92</v>
      </c>
      <c r="H32" s="276" t="s">
        <v>103</v>
      </c>
      <c r="I32" s="277"/>
    </row>
    <row r="33" spans="1:9" ht="12.75" customHeight="1" x14ac:dyDescent="0.25">
      <c r="A33" s="5" t="s">
        <v>113</v>
      </c>
      <c r="B33" s="6" t="s">
        <v>7</v>
      </c>
      <c r="C33" s="259" t="s">
        <v>8</v>
      </c>
      <c r="D33" s="260"/>
      <c r="E33" s="85" t="s">
        <v>9</v>
      </c>
      <c r="F33" s="85" t="s">
        <v>10</v>
      </c>
      <c r="G33" s="256" t="s">
        <v>0</v>
      </c>
      <c r="H33" s="257"/>
      <c r="I33" s="258"/>
    </row>
    <row r="34" spans="1:9" x14ac:dyDescent="0.25">
      <c r="A34" s="4" t="s">
        <v>4</v>
      </c>
      <c r="B34" s="68" t="s">
        <v>99</v>
      </c>
      <c r="C34" s="261" t="s">
        <v>100</v>
      </c>
      <c r="D34" s="262"/>
      <c r="E34" s="75" t="s">
        <v>30</v>
      </c>
      <c r="F34" s="75" t="s">
        <v>101</v>
      </c>
      <c r="G34" s="243" t="s">
        <v>29</v>
      </c>
      <c r="H34" s="254"/>
      <c r="I34" s="255"/>
    </row>
    <row r="35" spans="1:9" ht="22.8" x14ac:dyDescent="0.25">
      <c r="A35" s="76" t="s">
        <v>3</v>
      </c>
      <c r="B35" s="6" t="s">
        <v>11</v>
      </c>
      <c r="C35" s="233" t="s">
        <v>6</v>
      </c>
      <c r="D35" s="234"/>
      <c r="E35" s="74" t="s">
        <v>5</v>
      </c>
      <c r="F35" s="6" t="s">
        <v>1</v>
      </c>
      <c r="G35" s="148" t="s">
        <v>2</v>
      </c>
      <c r="H35" s="235" t="s">
        <v>12</v>
      </c>
      <c r="I35" s="236"/>
    </row>
    <row r="36" spans="1:9" ht="104.25" customHeight="1" thickBot="1" x14ac:dyDescent="0.3">
      <c r="A36" s="77"/>
      <c r="B36" s="78" t="s">
        <v>102</v>
      </c>
      <c r="C36" s="237"/>
      <c r="D36" s="238"/>
      <c r="E36" s="81"/>
      <c r="F36" s="80"/>
      <c r="G36" s="144" t="s">
        <v>92</v>
      </c>
      <c r="H36" s="276" t="s">
        <v>103</v>
      </c>
      <c r="I36" s="277"/>
    </row>
    <row r="37" spans="1:9" s="106" customFormat="1" ht="12.75" customHeight="1" x14ac:dyDescent="0.25">
      <c r="A37" s="121" t="s">
        <v>124</v>
      </c>
      <c r="B37" s="122" t="s">
        <v>7</v>
      </c>
      <c r="C37" s="251" t="s">
        <v>8</v>
      </c>
      <c r="D37" s="251"/>
      <c r="E37" s="127" t="s">
        <v>9</v>
      </c>
      <c r="F37" s="127" t="s">
        <v>10</v>
      </c>
      <c r="G37" s="252" t="s">
        <v>0</v>
      </c>
      <c r="H37" s="233"/>
      <c r="I37" s="253"/>
    </row>
    <row r="38" spans="1:9" s="106" customFormat="1" ht="12.75" customHeight="1" x14ac:dyDescent="0.25">
      <c r="A38" s="120" t="s">
        <v>4</v>
      </c>
      <c r="B38" s="123" t="s">
        <v>122</v>
      </c>
      <c r="C38" s="269" t="s">
        <v>100</v>
      </c>
      <c r="D38" s="270"/>
      <c r="E38" s="124" t="s">
        <v>30</v>
      </c>
      <c r="F38" s="124" t="s">
        <v>116</v>
      </c>
      <c r="G38" s="243" t="s">
        <v>29</v>
      </c>
      <c r="H38" s="254"/>
      <c r="I38" s="255"/>
    </row>
    <row r="39" spans="1:9" s="106" customFormat="1" ht="24" customHeight="1" x14ac:dyDescent="0.25">
      <c r="A39" s="130" t="s">
        <v>3</v>
      </c>
      <c r="B39" s="122" t="s">
        <v>11</v>
      </c>
      <c r="C39" s="233" t="s">
        <v>6</v>
      </c>
      <c r="D39" s="234"/>
      <c r="E39" s="128" t="s">
        <v>5</v>
      </c>
      <c r="F39" s="122" t="s">
        <v>1</v>
      </c>
      <c r="G39" s="148" t="s">
        <v>2</v>
      </c>
      <c r="H39" s="235" t="s">
        <v>12</v>
      </c>
      <c r="I39" s="236"/>
    </row>
    <row r="40" spans="1:9" s="106" customFormat="1" ht="104.25" customHeight="1" thickBot="1" x14ac:dyDescent="0.3">
      <c r="A40" s="131"/>
      <c r="B40" s="129" t="s">
        <v>123</v>
      </c>
      <c r="C40" s="237"/>
      <c r="D40" s="238"/>
      <c r="E40" s="132"/>
      <c r="F40" s="126"/>
      <c r="G40" s="125" t="s">
        <v>92</v>
      </c>
      <c r="H40" s="267" t="s">
        <v>103</v>
      </c>
      <c r="I40" s="268"/>
    </row>
    <row r="41" spans="1:9" ht="13.5" customHeight="1" x14ac:dyDescent="0.25">
      <c r="A41" s="5" t="s">
        <v>127</v>
      </c>
      <c r="B41" s="98" t="s">
        <v>7</v>
      </c>
      <c r="C41" s="251" t="s">
        <v>8</v>
      </c>
      <c r="D41" s="251"/>
      <c r="E41" s="99" t="s">
        <v>9</v>
      </c>
      <c r="F41" s="99" t="s">
        <v>10</v>
      </c>
      <c r="G41" s="252" t="s">
        <v>0</v>
      </c>
      <c r="H41" s="233"/>
      <c r="I41" s="253"/>
    </row>
    <row r="42" spans="1:9" ht="12.75" customHeight="1" x14ac:dyDescent="0.25">
      <c r="A42" s="4" t="s">
        <v>4</v>
      </c>
      <c r="B42" s="102" t="s">
        <v>28</v>
      </c>
      <c r="C42" s="241" t="s">
        <v>115</v>
      </c>
      <c r="D42" s="241"/>
      <c r="E42" s="101" t="s">
        <v>30</v>
      </c>
      <c r="F42" s="101" t="s">
        <v>116</v>
      </c>
      <c r="G42" s="243" t="s">
        <v>117</v>
      </c>
      <c r="H42" s="254"/>
      <c r="I42" s="255"/>
    </row>
    <row r="43" spans="1:9" ht="24" customHeight="1" x14ac:dyDescent="0.25">
      <c r="A43" s="76" t="s">
        <v>3</v>
      </c>
      <c r="B43" s="98" t="s">
        <v>11</v>
      </c>
      <c r="C43" s="233" t="s">
        <v>6</v>
      </c>
      <c r="D43" s="234"/>
      <c r="E43" s="100" t="s">
        <v>5</v>
      </c>
      <c r="F43" s="98" t="s">
        <v>1</v>
      </c>
      <c r="G43" s="148" t="s">
        <v>2</v>
      </c>
      <c r="H43" s="235" t="s">
        <v>12</v>
      </c>
      <c r="I43" s="236"/>
    </row>
    <row r="44" spans="1:9" ht="105" customHeight="1" thickBot="1" x14ac:dyDescent="0.3">
      <c r="A44" s="77"/>
      <c r="B44" s="103" t="s">
        <v>118</v>
      </c>
      <c r="C44" s="237"/>
      <c r="D44" s="238"/>
      <c r="E44" s="104"/>
      <c r="F44" s="105"/>
      <c r="G44" s="144" t="s">
        <v>92</v>
      </c>
      <c r="H44" s="239" t="s">
        <v>103</v>
      </c>
      <c r="I44" s="240"/>
    </row>
    <row r="45" spans="1:9" s="87" customFormat="1" ht="13.5" customHeight="1" x14ac:dyDescent="0.25">
      <c r="A45" s="89" t="s">
        <v>111</v>
      </c>
      <c r="B45" s="90" t="s">
        <v>7</v>
      </c>
      <c r="C45" s="251" t="s">
        <v>8</v>
      </c>
      <c r="D45" s="251"/>
      <c r="E45" s="91" t="s">
        <v>9</v>
      </c>
      <c r="F45" s="91" t="s">
        <v>10</v>
      </c>
      <c r="G45" s="252" t="s">
        <v>0</v>
      </c>
      <c r="H45" s="233"/>
      <c r="I45" s="253"/>
    </row>
    <row r="46" spans="1:9" s="87" customFormat="1" ht="12.75" customHeight="1" x14ac:dyDescent="0.25">
      <c r="A46" s="88" t="s">
        <v>4</v>
      </c>
      <c r="B46" s="82" t="s">
        <v>104</v>
      </c>
      <c r="C46" s="261" t="s">
        <v>105</v>
      </c>
      <c r="D46" s="262"/>
      <c r="E46" s="96" t="s">
        <v>30</v>
      </c>
      <c r="F46" s="96" t="s">
        <v>101</v>
      </c>
      <c r="G46" s="243" t="s">
        <v>29</v>
      </c>
      <c r="H46" s="254"/>
      <c r="I46" s="255"/>
    </row>
    <row r="47" spans="1:9" s="87" customFormat="1" ht="22.8" x14ac:dyDescent="0.25">
      <c r="A47" s="94" t="s">
        <v>3</v>
      </c>
      <c r="B47" s="90" t="s">
        <v>11</v>
      </c>
      <c r="C47" s="233" t="s">
        <v>6</v>
      </c>
      <c r="D47" s="234"/>
      <c r="E47" s="92" t="s">
        <v>5</v>
      </c>
      <c r="F47" s="90" t="s">
        <v>1</v>
      </c>
      <c r="G47" s="148" t="s">
        <v>2</v>
      </c>
      <c r="H47" s="235" t="s">
        <v>12</v>
      </c>
      <c r="I47" s="236"/>
    </row>
    <row r="48" spans="1:9" s="87" customFormat="1" ht="105" customHeight="1" thickBot="1" x14ac:dyDescent="0.3">
      <c r="A48" s="95"/>
      <c r="B48" s="78" t="s">
        <v>106</v>
      </c>
      <c r="C48" s="237"/>
      <c r="D48" s="238"/>
      <c r="E48" s="81"/>
      <c r="F48" s="143"/>
      <c r="G48" s="144" t="s">
        <v>92</v>
      </c>
      <c r="H48" s="276" t="s">
        <v>103</v>
      </c>
      <c r="I48" s="277"/>
    </row>
    <row r="49" spans="1:9" s="119" customFormat="1" ht="13.5" customHeight="1" x14ac:dyDescent="0.25">
      <c r="A49" s="134" t="s">
        <v>126</v>
      </c>
      <c r="B49" s="135" t="s">
        <v>7</v>
      </c>
      <c r="C49" s="251" t="s">
        <v>8</v>
      </c>
      <c r="D49" s="251"/>
      <c r="E49" s="136" t="s">
        <v>9</v>
      </c>
      <c r="F49" s="136" t="s">
        <v>10</v>
      </c>
      <c r="G49" s="252" t="s">
        <v>0</v>
      </c>
      <c r="H49" s="233"/>
      <c r="I49" s="253"/>
    </row>
    <row r="50" spans="1:9" s="119" customFormat="1" ht="12.75" customHeight="1" x14ac:dyDescent="0.25">
      <c r="A50" s="133" t="s">
        <v>4</v>
      </c>
      <c r="B50" s="141" t="s">
        <v>104</v>
      </c>
      <c r="C50" s="241" t="s">
        <v>105</v>
      </c>
      <c r="D50" s="241"/>
      <c r="E50" s="138" t="s">
        <v>30</v>
      </c>
      <c r="F50" s="138" t="s">
        <v>116</v>
      </c>
      <c r="G50" s="243" t="s">
        <v>117</v>
      </c>
      <c r="H50" s="254"/>
      <c r="I50" s="255"/>
    </row>
    <row r="51" spans="1:9" s="119" customFormat="1" ht="24" customHeight="1" x14ac:dyDescent="0.25">
      <c r="A51" s="139" t="s">
        <v>3</v>
      </c>
      <c r="B51" s="135" t="s">
        <v>11</v>
      </c>
      <c r="C51" s="233" t="s">
        <v>6</v>
      </c>
      <c r="D51" s="234"/>
      <c r="E51" s="137" t="s">
        <v>5</v>
      </c>
      <c r="F51" s="135" t="s">
        <v>1</v>
      </c>
      <c r="G51" s="148" t="s">
        <v>2</v>
      </c>
      <c r="H51" s="235" t="s">
        <v>12</v>
      </c>
      <c r="I51" s="236"/>
    </row>
    <row r="52" spans="1:9" s="119" customFormat="1" ht="105" customHeight="1" thickBot="1" x14ac:dyDescent="0.3">
      <c r="A52" s="140"/>
      <c r="B52" s="142" t="s">
        <v>125</v>
      </c>
      <c r="C52" s="237"/>
      <c r="D52" s="238"/>
      <c r="E52" s="145"/>
      <c r="F52" s="143"/>
      <c r="G52" s="144" t="s">
        <v>92</v>
      </c>
      <c r="H52" s="239" t="s">
        <v>103</v>
      </c>
      <c r="I52" s="240"/>
    </row>
    <row r="53" spans="1:9" s="97" customFormat="1" ht="13.5" customHeight="1" x14ac:dyDescent="0.25">
      <c r="A53" s="108" t="s">
        <v>119</v>
      </c>
      <c r="B53" s="109" t="s">
        <v>7</v>
      </c>
      <c r="C53" s="251" t="s">
        <v>8</v>
      </c>
      <c r="D53" s="251"/>
      <c r="E53" s="111" t="s">
        <v>9</v>
      </c>
      <c r="F53" s="111" t="s">
        <v>10</v>
      </c>
      <c r="G53" s="252" t="s">
        <v>0</v>
      </c>
      <c r="H53" s="233"/>
      <c r="I53" s="253"/>
    </row>
    <row r="54" spans="1:9" s="97" customFormat="1" ht="12.75" customHeight="1" x14ac:dyDescent="0.25">
      <c r="A54" s="107" t="s">
        <v>4</v>
      </c>
      <c r="B54" s="116" t="s">
        <v>104</v>
      </c>
      <c r="C54" s="241" t="s">
        <v>120</v>
      </c>
      <c r="D54" s="241"/>
      <c r="E54" s="113" t="s">
        <v>30</v>
      </c>
      <c r="F54" s="113" t="s">
        <v>116</v>
      </c>
      <c r="G54" s="243" t="s">
        <v>117</v>
      </c>
      <c r="H54" s="254"/>
      <c r="I54" s="255"/>
    </row>
    <row r="55" spans="1:9" s="97" customFormat="1" ht="24" customHeight="1" x14ac:dyDescent="0.25">
      <c r="A55" s="114" t="s">
        <v>3</v>
      </c>
      <c r="B55" s="109" t="s">
        <v>11</v>
      </c>
      <c r="C55" s="233" t="s">
        <v>6</v>
      </c>
      <c r="D55" s="234"/>
      <c r="E55" s="112" t="s">
        <v>5</v>
      </c>
      <c r="F55" s="109" t="s">
        <v>1</v>
      </c>
      <c r="G55" s="110" t="s">
        <v>2</v>
      </c>
      <c r="H55" s="235" t="s">
        <v>12</v>
      </c>
      <c r="I55" s="236"/>
    </row>
    <row r="56" spans="1:9" s="97" customFormat="1" ht="105" customHeight="1" thickBot="1" x14ac:dyDescent="0.3">
      <c r="A56" s="115"/>
      <c r="B56" s="117" t="s">
        <v>121</v>
      </c>
      <c r="C56" s="237"/>
      <c r="D56" s="238"/>
      <c r="E56" s="118"/>
      <c r="F56" s="143"/>
      <c r="G56" s="144" t="s">
        <v>92</v>
      </c>
      <c r="H56" s="239" t="s">
        <v>103</v>
      </c>
      <c r="I56" s="240"/>
    </row>
    <row r="57" spans="1:9" s="119" customFormat="1" ht="13.5" customHeight="1" x14ac:dyDescent="0.25">
      <c r="A57" s="134" t="s">
        <v>175</v>
      </c>
      <c r="B57" s="135" t="s">
        <v>7</v>
      </c>
      <c r="C57" s="251" t="s">
        <v>8</v>
      </c>
      <c r="D57" s="251"/>
      <c r="E57" s="218" t="s">
        <v>9</v>
      </c>
      <c r="F57" s="218" t="s">
        <v>10</v>
      </c>
      <c r="G57" s="252" t="s">
        <v>0</v>
      </c>
      <c r="H57" s="233"/>
      <c r="I57" s="253"/>
    </row>
    <row r="58" spans="1:9" s="119" customFormat="1" ht="30" customHeight="1" x14ac:dyDescent="0.25">
      <c r="A58" s="133" t="s">
        <v>4</v>
      </c>
      <c r="B58" s="141" t="s">
        <v>177</v>
      </c>
      <c r="C58" s="241" t="s">
        <v>178</v>
      </c>
      <c r="D58" s="241"/>
      <c r="E58" s="214" t="s">
        <v>30</v>
      </c>
      <c r="F58" s="214" t="s">
        <v>116</v>
      </c>
      <c r="G58" s="243" t="s">
        <v>117</v>
      </c>
      <c r="H58" s="254"/>
      <c r="I58" s="255"/>
    </row>
    <row r="59" spans="1:9" s="119" customFormat="1" ht="24" customHeight="1" x14ac:dyDescent="0.25">
      <c r="A59" s="215" t="s">
        <v>3</v>
      </c>
      <c r="B59" s="135" t="s">
        <v>11</v>
      </c>
      <c r="C59" s="233" t="s">
        <v>6</v>
      </c>
      <c r="D59" s="234"/>
      <c r="E59" s="219" t="s">
        <v>5</v>
      </c>
      <c r="F59" s="135" t="s">
        <v>1</v>
      </c>
      <c r="G59" s="217" t="s">
        <v>2</v>
      </c>
      <c r="H59" s="235" t="s">
        <v>12</v>
      </c>
      <c r="I59" s="236"/>
    </row>
    <row r="60" spans="1:9" s="119" customFormat="1" ht="105" customHeight="1" thickBot="1" x14ac:dyDescent="0.3">
      <c r="A60" s="216"/>
      <c r="B60" s="142" t="s">
        <v>176</v>
      </c>
      <c r="C60" s="237"/>
      <c r="D60" s="238"/>
      <c r="E60" s="145"/>
      <c r="F60" s="143"/>
      <c r="G60" s="144" t="s">
        <v>92</v>
      </c>
      <c r="H60" s="239" t="s">
        <v>103</v>
      </c>
      <c r="I60" s="240"/>
    </row>
    <row r="61" spans="1:9" s="119" customFormat="1" ht="13.5" customHeight="1" x14ac:dyDescent="0.25">
      <c r="A61" s="134" t="s">
        <v>179</v>
      </c>
      <c r="B61" s="135" t="s">
        <v>7</v>
      </c>
      <c r="C61" s="251" t="s">
        <v>8</v>
      </c>
      <c r="D61" s="251"/>
      <c r="E61" s="224" t="s">
        <v>9</v>
      </c>
      <c r="F61" s="224" t="s">
        <v>10</v>
      </c>
      <c r="G61" s="252" t="s">
        <v>0</v>
      </c>
      <c r="H61" s="233"/>
      <c r="I61" s="253"/>
    </row>
    <row r="62" spans="1:9" s="119" customFormat="1" ht="30" customHeight="1" x14ac:dyDescent="0.25">
      <c r="A62" s="133" t="s">
        <v>4</v>
      </c>
      <c r="B62" s="141" t="s">
        <v>177</v>
      </c>
      <c r="C62" s="241" t="s">
        <v>181</v>
      </c>
      <c r="D62" s="241"/>
      <c r="E62" s="220" t="s">
        <v>30</v>
      </c>
      <c r="F62" s="220" t="s">
        <v>116</v>
      </c>
      <c r="G62" s="243" t="s">
        <v>117</v>
      </c>
      <c r="H62" s="254"/>
      <c r="I62" s="255"/>
    </row>
    <row r="63" spans="1:9" s="119" customFormat="1" ht="24" customHeight="1" x14ac:dyDescent="0.25">
      <c r="A63" s="221" t="s">
        <v>3</v>
      </c>
      <c r="B63" s="135" t="s">
        <v>11</v>
      </c>
      <c r="C63" s="233" t="s">
        <v>6</v>
      </c>
      <c r="D63" s="234"/>
      <c r="E63" s="225" t="s">
        <v>5</v>
      </c>
      <c r="F63" s="135" t="s">
        <v>1</v>
      </c>
      <c r="G63" s="223" t="s">
        <v>2</v>
      </c>
      <c r="H63" s="235" t="s">
        <v>12</v>
      </c>
      <c r="I63" s="236"/>
    </row>
    <row r="64" spans="1:9" s="119" customFormat="1" ht="105" customHeight="1" thickBot="1" x14ac:dyDescent="0.3">
      <c r="A64" s="222"/>
      <c r="B64" s="142" t="s">
        <v>180</v>
      </c>
      <c r="C64" s="237"/>
      <c r="D64" s="238"/>
      <c r="E64" s="145"/>
      <c r="F64" s="143"/>
      <c r="G64" s="144" t="s">
        <v>92</v>
      </c>
      <c r="H64" s="239" t="s">
        <v>103</v>
      </c>
      <c r="I64" s="240"/>
    </row>
    <row r="65" spans="1:9" s="119" customFormat="1" ht="13.5" customHeight="1" x14ac:dyDescent="0.25">
      <c r="A65" s="134" t="s">
        <v>184</v>
      </c>
      <c r="B65" s="135" t="s">
        <v>7</v>
      </c>
      <c r="C65" s="251" t="s">
        <v>8</v>
      </c>
      <c r="D65" s="251"/>
      <c r="E65" s="227" t="s">
        <v>9</v>
      </c>
      <c r="F65" s="227" t="s">
        <v>10</v>
      </c>
      <c r="G65" s="252" t="s">
        <v>0</v>
      </c>
      <c r="H65" s="233"/>
      <c r="I65" s="253"/>
    </row>
    <row r="66" spans="1:9" s="119" customFormat="1" ht="30" customHeight="1" x14ac:dyDescent="0.25">
      <c r="A66" s="133" t="s">
        <v>4</v>
      </c>
      <c r="B66" s="141" t="s">
        <v>192</v>
      </c>
      <c r="C66" s="241" t="s">
        <v>186</v>
      </c>
      <c r="D66" s="241"/>
      <c r="E66" s="229" t="s">
        <v>30</v>
      </c>
      <c r="F66" s="229" t="s">
        <v>116</v>
      </c>
      <c r="G66" s="243" t="s">
        <v>117</v>
      </c>
      <c r="H66" s="254"/>
      <c r="I66" s="255"/>
    </row>
    <row r="67" spans="1:9" s="119" customFormat="1" ht="24" customHeight="1" x14ac:dyDescent="0.25">
      <c r="A67" s="230" t="s">
        <v>3</v>
      </c>
      <c r="B67" s="135" t="s">
        <v>11</v>
      </c>
      <c r="C67" s="233" t="s">
        <v>6</v>
      </c>
      <c r="D67" s="234"/>
      <c r="E67" s="228" t="s">
        <v>5</v>
      </c>
      <c r="F67" s="135" t="s">
        <v>1</v>
      </c>
      <c r="G67" s="226" t="s">
        <v>2</v>
      </c>
      <c r="H67" s="235" t="s">
        <v>12</v>
      </c>
      <c r="I67" s="236"/>
    </row>
    <row r="68" spans="1:9" s="119" customFormat="1" ht="105" customHeight="1" thickBot="1" x14ac:dyDescent="0.3">
      <c r="A68" s="231"/>
      <c r="B68" s="142" t="s">
        <v>185</v>
      </c>
      <c r="C68" s="237"/>
      <c r="D68" s="238"/>
      <c r="E68" s="145"/>
      <c r="F68" s="143"/>
      <c r="G68" s="144" t="s">
        <v>92</v>
      </c>
      <c r="H68" s="239" t="s">
        <v>103</v>
      </c>
      <c r="I68" s="240"/>
    </row>
    <row r="69" spans="1:9" s="119" customFormat="1" ht="13.5" customHeight="1" x14ac:dyDescent="0.25">
      <c r="A69" s="134" t="s">
        <v>187</v>
      </c>
      <c r="B69" s="135" t="s">
        <v>7</v>
      </c>
      <c r="C69" s="251" t="s">
        <v>8</v>
      </c>
      <c r="D69" s="251"/>
      <c r="E69" s="227" t="s">
        <v>9</v>
      </c>
      <c r="F69" s="227" t="s">
        <v>10</v>
      </c>
      <c r="G69" s="252" t="s">
        <v>0</v>
      </c>
      <c r="H69" s="233"/>
      <c r="I69" s="253"/>
    </row>
    <row r="70" spans="1:9" s="119" customFormat="1" ht="30" customHeight="1" x14ac:dyDescent="0.25">
      <c r="A70" s="133" t="s">
        <v>4</v>
      </c>
      <c r="B70" s="141" t="s">
        <v>193</v>
      </c>
      <c r="C70" s="241" t="s">
        <v>188</v>
      </c>
      <c r="D70" s="241"/>
      <c r="E70" s="229" t="s">
        <v>30</v>
      </c>
      <c r="F70" s="229" t="s">
        <v>116</v>
      </c>
      <c r="G70" s="243" t="s">
        <v>117</v>
      </c>
      <c r="H70" s="254"/>
      <c r="I70" s="255"/>
    </row>
    <row r="71" spans="1:9" s="119" customFormat="1" ht="24" customHeight="1" x14ac:dyDescent="0.25">
      <c r="A71" s="230" t="s">
        <v>3</v>
      </c>
      <c r="B71" s="135" t="s">
        <v>11</v>
      </c>
      <c r="C71" s="233" t="s">
        <v>6</v>
      </c>
      <c r="D71" s="234"/>
      <c r="E71" s="228" t="s">
        <v>5</v>
      </c>
      <c r="F71" s="135" t="s">
        <v>1</v>
      </c>
      <c r="G71" s="226" t="s">
        <v>2</v>
      </c>
      <c r="H71" s="235" t="s">
        <v>12</v>
      </c>
      <c r="I71" s="236"/>
    </row>
    <row r="72" spans="1:9" s="119" customFormat="1" ht="105" customHeight="1" thickBot="1" x14ac:dyDescent="0.3">
      <c r="A72" s="231"/>
      <c r="B72" s="142" t="s">
        <v>189</v>
      </c>
      <c r="C72" s="237"/>
      <c r="D72" s="238"/>
      <c r="E72" s="145"/>
      <c r="F72" s="143"/>
      <c r="G72" s="144" t="s">
        <v>92</v>
      </c>
      <c r="H72" s="239" t="s">
        <v>103</v>
      </c>
      <c r="I72" s="240"/>
    </row>
    <row r="73" spans="1:9" s="119" customFormat="1" ht="17.399999999999999" customHeight="1" x14ac:dyDescent="0.25">
      <c r="A73" s="134" t="s">
        <v>94</v>
      </c>
      <c r="B73" s="135" t="s">
        <v>7</v>
      </c>
      <c r="C73" s="251" t="s">
        <v>8</v>
      </c>
      <c r="D73" s="251"/>
      <c r="E73" s="196" t="s">
        <v>9</v>
      </c>
      <c r="F73" s="196" t="s">
        <v>10</v>
      </c>
      <c r="G73" s="252" t="s">
        <v>0</v>
      </c>
      <c r="H73" s="233"/>
      <c r="I73" s="253"/>
    </row>
    <row r="74" spans="1:9" s="119" customFormat="1" ht="13.2" customHeight="1" x14ac:dyDescent="0.25">
      <c r="A74" s="133" t="s">
        <v>4</v>
      </c>
      <c r="B74" s="141" t="s">
        <v>95</v>
      </c>
      <c r="C74" s="241" t="s">
        <v>96</v>
      </c>
      <c r="D74" s="241"/>
      <c r="E74" s="198"/>
      <c r="F74" s="198"/>
      <c r="G74" s="242" t="s">
        <v>16</v>
      </c>
      <c r="H74" s="243"/>
      <c r="I74" s="244"/>
    </row>
    <row r="75" spans="1:9" s="119" customFormat="1" ht="21.6" customHeight="1" x14ac:dyDescent="0.25">
      <c r="A75" s="245" t="s">
        <v>3</v>
      </c>
      <c r="B75" s="135" t="s">
        <v>11</v>
      </c>
      <c r="C75" s="233" t="s">
        <v>6</v>
      </c>
      <c r="D75" s="234"/>
      <c r="E75" s="197" t="s">
        <v>5</v>
      </c>
      <c r="F75" s="135" t="s">
        <v>1</v>
      </c>
      <c r="G75" s="195" t="s">
        <v>2</v>
      </c>
      <c r="H75" s="247" t="s">
        <v>12</v>
      </c>
      <c r="I75" s="248"/>
    </row>
    <row r="76" spans="1:9" s="119" customFormat="1" ht="105" customHeight="1" thickBot="1" x14ac:dyDescent="0.3">
      <c r="A76" s="246"/>
      <c r="B76" s="142" t="s">
        <v>97</v>
      </c>
      <c r="C76" s="237"/>
      <c r="D76" s="238"/>
      <c r="E76" s="79"/>
      <c r="F76" s="143"/>
      <c r="G76" s="144" t="s">
        <v>98</v>
      </c>
      <c r="H76" s="249"/>
      <c r="I76" s="250"/>
    </row>
    <row r="77" spans="1:9" s="119" customFormat="1" ht="17.399999999999999" customHeight="1" x14ac:dyDescent="0.25">
      <c r="A77" s="134" t="s">
        <v>94</v>
      </c>
      <c r="B77" s="135" t="s">
        <v>7</v>
      </c>
      <c r="C77" s="251" t="s">
        <v>8</v>
      </c>
      <c r="D77" s="251"/>
      <c r="E77" s="212" t="s">
        <v>9</v>
      </c>
      <c r="F77" s="212" t="s">
        <v>10</v>
      </c>
      <c r="G77" s="252" t="s">
        <v>0</v>
      </c>
      <c r="H77" s="233"/>
      <c r="I77" s="253"/>
    </row>
    <row r="78" spans="1:9" s="119" customFormat="1" ht="13.2" customHeight="1" x14ac:dyDescent="0.25">
      <c r="A78" s="133" t="s">
        <v>4</v>
      </c>
      <c r="B78" s="141" t="s">
        <v>95</v>
      </c>
      <c r="C78" s="241" t="s">
        <v>96</v>
      </c>
      <c r="D78" s="241"/>
      <c r="E78" s="210"/>
      <c r="F78" s="210"/>
      <c r="G78" s="242" t="s">
        <v>174</v>
      </c>
      <c r="H78" s="243"/>
      <c r="I78" s="244"/>
    </row>
    <row r="79" spans="1:9" s="119" customFormat="1" ht="21.6" customHeight="1" x14ac:dyDescent="0.25">
      <c r="A79" s="245" t="s">
        <v>3</v>
      </c>
      <c r="B79" s="135" t="s">
        <v>11</v>
      </c>
      <c r="C79" s="233" t="s">
        <v>6</v>
      </c>
      <c r="D79" s="234"/>
      <c r="E79" s="213" t="s">
        <v>5</v>
      </c>
      <c r="F79" s="135" t="s">
        <v>1</v>
      </c>
      <c r="G79" s="211" t="s">
        <v>2</v>
      </c>
      <c r="H79" s="247" t="s">
        <v>12</v>
      </c>
      <c r="I79" s="248"/>
    </row>
    <row r="80" spans="1:9" s="119" customFormat="1" ht="105" customHeight="1" thickBot="1" x14ac:dyDescent="0.3">
      <c r="A80" s="246"/>
      <c r="B80" s="142" t="s">
        <v>97</v>
      </c>
      <c r="C80" s="237"/>
      <c r="D80" s="238"/>
      <c r="E80" s="79"/>
      <c r="F80" s="143"/>
      <c r="G80" s="144" t="s">
        <v>98</v>
      </c>
      <c r="H80" s="249"/>
      <c r="I80" s="250"/>
    </row>
    <row r="81" spans="1:9" ht="12.75" customHeight="1" x14ac:dyDescent="0.25">
      <c r="A81" s="5" t="s">
        <v>81</v>
      </c>
      <c r="B81" s="6" t="s">
        <v>7</v>
      </c>
      <c r="C81" s="251" t="s">
        <v>8</v>
      </c>
      <c r="D81" s="251"/>
      <c r="E81" s="70" t="s">
        <v>9</v>
      </c>
      <c r="F81" s="70" t="s">
        <v>10</v>
      </c>
      <c r="G81" s="252" t="s">
        <v>0</v>
      </c>
      <c r="H81" s="233"/>
      <c r="I81" s="253"/>
    </row>
    <row r="82" spans="1:9" ht="24" customHeight="1" x14ac:dyDescent="0.25">
      <c r="A82" s="4" t="s">
        <v>4</v>
      </c>
      <c r="B82" s="68" t="s">
        <v>80</v>
      </c>
      <c r="C82" s="261" t="s">
        <v>82</v>
      </c>
      <c r="D82" s="262"/>
      <c r="E82" s="72" t="s">
        <v>83</v>
      </c>
      <c r="F82" s="8" t="s">
        <v>56</v>
      </c>
      <c r="G82" s="242" t="s">
        <v>16</v>
      </c>
      <c r="H82" s="243"/>
      <c r="I82" s="244"/>
    </row>
    <row r="83" spans="1:9" s="2" customFormat="1" ht="28.5" customHeight="1" x14ac:dyDescent="0.25">
      <c r="A83" s="245" t="s">
        <v>3</v>
      </c>
      <c r="B83" s="6" t="s">
        <v>11</v>
      </c>
      <c r="C83" s="233" t="s">
        <v>6</v>
      </c>
      <c r="D83" s="234"/>
      <c r="E83" s="71" t="s">
        <v>5</v>
      </c>
      <c r="F83" s="6" t="s">
        <v>1</v>
      </c>
      <c r="G83" s="69" t="s">
        <v>2</v>
      </c>
      <c r="H83" s="247" t="s">
        <v>12</v>
      </c>
      <c r="I83" s="248"/>
    </row>
    <row r="84" spans="1:9" s="2" customFormat="1" ht="139.5" customHeight="1" thickBot="1" x14ac:dyDescent="0.3">
      <c r="A84" s="246"/>
      <c r="B84" s="66" t="s">
        <v>76</v>
      </c>
      <c r="C84" s="237"/>
      <c r="D84" s="238"/>
      <c r="E84" s="7"/>
      <c r="F84" s="143"/>
      <c r="G84" s="144" t="s">
        <v>77</v>
      </c>
      <c r="H84" s="278"/>
      <c r="I84" s="279"/>
    </row>
    <row r="85" spans="1:9" x14ac:dyDescent="0.25">
      <c r="A85" s="5" t="s">
        <v>110</v>
      </c>
      <c r="B85" s="6" t="s">
        <v>7</v>
      </c>
      <c r="C85" s="251" t="s">
        <v>8</v>
      </c>
      <c r="D85" s="251"/>
      <c r="E85" s="73" t="s">
        <v>9</v>
      </c>
      <c r="F85" s="73" t="s">
        <v>10</v>
      </c>
      <c r="G85" s="252" t="s">
        <v>0</v>
      </c>
      <c r="H85" s="233"/>
      <c r="I85" s="253"/>
    </row>
    <row r="86" spans="1:9" ht="12.75" customHeight="1" x14ac:dyDescent="0.25">
      <c r="A86" s="4" t="s">
        <v>4</v>
      </c>
      <c r="B86" s="68" t="s">
        <v>51</v>
      </c>
      <c r="C86" s="261" t="s">
        <v>108</v>
      </c>
      <c r="D86" s="262"/>
      <c r="E86" s="75" t="s">
        <v>83</v>
      </c>
      <c r="F86" s="75" t="s">
        <v>56</v>
      </c>
      <c r="G86" s="242" t="s">
        <v>16</v>
      </c>
      <c r="H86" s="243"/>
      <c r="I86" s="244"/>
    </row>
    <row r="87" spans="1:9" ht="24" customHeight="1" x14ac:dyDescent="0.25">
      <c r="A87" s="245" t="s">
        <v>3</v>
      </c>
      <c r="B87" s="135" t="s">
        <v>11</v>
      </c>
      <c r="C87" s="233" t="s">
        <v>6</v>
      </c>
      <c r="D87" s="234"/>
      <c r="E87" s="197" t="s">
        <v>5</v>
      </c>
      <c r="F87" s="135" t="s">
        <v>1</v>
      </c>
      <c r="G87" s="195" t="s">
        <v>2</v>
      </c>
      <c r="H87" s="247" t="s">
        <v>12</v>
      </c>
      <c r="I87" s="248"/>
    </row>
    <row r="88" spans="1:9" ht="127.5" customHeight="1" thickBot="1" x14ac:dyDescent="0.3">
      <c r="A88" s="271"/>
      <c r="B88" s="208" t="s">
        <v>109</v>
      </c>
      <c r="C88" s="272"/>
      <c r="D88" s="273"/>
      <c r="E88" s="209"/>
      <c r="F88" s="143"/>
      <c r="G88" s="144" t="s">
        <v>77</v>
      </c>
      <c r="H88" s="274"/>
      <c r="I88" s="275"/>
    </row>
    <row r="89" spans="1:9" x14ac:dyDescent="0.25">
      <c r="A89" s="199"/>
      <c r="B89" s="200"/>
      <c r="C89" s="330"/>
      <c r="D89" s="330"/>
      <c r="E89" s="201"/>
      <c r="F89" s="201"/>
      <c r="G89" s="326"/>
      <c r="H89" s="326"/>
      <c r="I89" s="326"/>
    </row>
    <row r="90" spans="1:9" x14ac:dyDescent="0.25">
      <c r="A90" s="202"/>
      <c r="B90" s="203"/>
      <c r="C90" s="331"/>
      <c r="D90" s="331"/>
      <c r="E90" s="204"/>
      <c r="F90" s="204"/>
      <c r="G90" s="332"/>
      <c r="H90" s="332"/>
      <c r="I90" s="332"/>
    </row>
    <row r="91" spans="1:9" x14ac:dyDescent="0.25">
      <c r="A91" s="325"/>
      <c r="B91" s="200"/>
      <c r="C91" s="326"/>
      <c r="D91" s="326"/>
      <c r="E91" s="201"/>
      <c r="F91" s="200"/>
      <c r="G91" s="200"/>
      <c r="H91" s="327"/>
      <c r="I91" s="327"/>
    </row>
    <row r="92" spans="1:9" ht="97.5" customHeight="1" x14ac:dyDescent="0.25">
      <c r="A92" s="325"/>
      <c r="B92" s="205"/>
      <c r="C92" s="328"/>
      <c r="D92" s="328"/>
      <c r="E92" s="206"/>
      <c r="F92" s="207"/>
      <c r="G92" s="203"/>
      <c r="H92" s="329"/>
      <c r="I92" s="329"/>
    </row>
    <row r="93" spans="1:9" s="2" customFormat="1" ht="22.5" customHeight="1" x14ac:dyDescent="0.25"/>
    <row r="94" spans="1:9" s="2" customFormat="1" ht="15.75" customHeight="1" x14ac:dyDescent="0.25"/>
    <row r="95" spans="1:9" s="2" customFormat="1" ht="30" customHeight="1" x14ac:dyDescent="0.25"/>
    <row r="96" spans="1:9" ht="114.75" customHeight="1" x14ac:dyDescent="0.25"/>
  </sheetData>
  <sheetProtection formatCells="0" formatColumns="0" formatRows="0" insertHyperlinks="0"/>
  <mergeCells count="172">
    <mergeCell ref="H71:I71"/>
    <mergeCell ref="C72:D72"/>
    <mergeCell ref="H72:I72"/>
    <mergeCell ref="C77:D77"/>
    <mergeCell ref="G77:I77"/>
    <mergeCell ref="C78:D78"/>
    <mergeCell ref="G78:I78"/>
    <mergeCell ref="A79:A80"/>
    <mergeCell ref="C79:D79"/>
    <mergeCell ref="H79:I79"/>
    <mergeCell ref="C80:D80"/>
    <mergeCell ref="H80:I80"/>
    <mergeCell ref="B12:E12"/>
    <mergeCell ref="G12:I12"/>
    <mergeCell ref="B13:E13"/>
    <mergeCell ref="B14:E14"/>
    <mergeCell ref="B15:E15"/>
    <mergeCell ref="G15:I15"/>
    <mergeCell ref="B16:I16"/>
    <mergeCell ref="B17:I17"/>
    <mergeCell ref="A18:I18"/>
    <mergeCell ref="A91:A92"/>
    <mergeCell ref="C91:D91"/>
    <mergeCell ref="H91:I91"/>
    <mergeCell ref="C92:D92"/>
    <mergeCell ref="H92:I92"/>
    <mergeCell ref="C89:D89"/>
    <mergeCell ref="G89:I89"/>
    <mergeCell ref="C90:D90"/>
    <mergeCell ref="G90:I90"/>
    <mergeCell ref="G1:I1"/>
    <mergeCell ref="H6:I6"/>
    <mergeCell ref="H4:I4"/>
    <mergeCell ref="H7:I7"/>
    <mergeCell ref="B1:F1"/>
    <mergeCell ref="B2:F2"/>
    <mergeCell ref="A3:I3"/>
    <mergeCell ref="H5:I5"/>
    <mergeCell ref="B7:F7"/>
    <mergeCell ref="B4:F4"/>
    <mergeCell ref="B5:F5"/>
    <mergeCell ref="B6:F6"/>
    <mergeCell ref="B19:I19"/>
    <mergeCell ref="B20:I20"/>
    <mergeCell ref="B21:I21"/>
    <mergeCell ref="H27:I27"/>
    <mergeCell ref="G25:I25"/>
    <mergeCell ref="B23:G23"/>
    <mergeCell ref="H23:I23"/>
    <mergeCell ref="C25:D25"/>
    <mergeCell ref="C26:D26"/>
    <mergeCell ref="G26:I26"/>
    <mergeCell ref="C27:D27"/>
    <mergeCell ref="B22:I22"/>
    <mergeCell ref="B24:G24"/>
    <mergeCell ref="H24:I24"/>
    <mergeCell ref="G82:I82"/>
    <mergeCell ref="C35:D35"/>
    <mergeCell ref="H35:I35"/>
    <mergeCell ref="G34:I34"/>
    <mergeCell ref="C36:D36"/>
    <mergeCell ref="H36:I36"/>
    <mergeCell ref="C34:D34"/>
    <mergeCell ref="G13:I13"/>
    <mergeCell ref="G14:I14"/>
    <mergeCell ref="C81:D81"/>
    <mergeCell ref="G81:I81"/>
    <mergeCell ref="C32:D32"/>
    <mergeCell ref="H32:I32"/>
    <mergeCell ref="H28:I28"/>
    <mergeCell ref="C28:D28"/>
    <mergeCell ref="G53:I53"/>
    <mergeCell ref="H56:I56"/>
    <mergeCell ref="G54:I54"/>
    <mergeCell ref="C54:D54"/>
    <mergeCell ref="C55:D55"/>
    <mergeCell ref="H55:I55"/>
    <mergeCell ref="C56:D56"/>
    <mergeCell ref="C43:D43"/>
    <mergeCell ref="H43:I43"/>
    <mergeCell ref="C86:D86"/>
    <mergeCell ref="G86:I86"/>
    <mergeCell ref="A87:A88"/>
    <mergeCell ref="C87:D87"/>
    <mergeCell ref="H87:I87"/>
    <mergeCell ref="C88:D88"/>
    <mergeCell ref="H88:I88"/>
    <mergeCell ref="C45:D45"/>
    <mergeCell ref="G45:I45"/>
    <mergeCell ref="C46:D46"/>
    <mergeCell ref="G46:I46"/>
    <mergeCell ref="C47:D47"/>
    <mergeCell ref="H47:I47"/>
    <mergeCell ref="C48:D48"/>
    <mergeCell ref="H48:I48"/>
    <mergeCell ref="C85:D85"/>
    <mergeCell ref="G85:I85"/>
    <mergeCell ref="A83:A84"/>
    <mergeCell ref="C83:D83"/>
    <mergeCell ref="H83:I83"/>
    <mergeCell ref="C84:D84"/>
    <mergeCell ref="H84:I84"/>
    <mergeCell ref="C82:D82"/>
    <mergeCell ref="C53:D53"/>
    <mergeCell ref="G29:I29"/>
    <mergeCell ref="C29:D29"/>
    <mergeCell ref="C30:D30"/>
    <mergeCell ref="G30:I30"/>
    <mergeCell ref="C31:D31"/>
    <mergeCell ref="H31:I31"/>
    <mergeCell ref="C73:D73"/>
    <mergeCell ref="G73:I73"/>
    <mergeCell ref="G42:I42"/>
    <mergeCell ref="C42:D42"/>
    <mergeCell ref="C37:D37"/>
    <mergeCell ref="G37:I37"/>
    <mergeCell ref="C40:D40"/>
    <mergeCell ref="H40:I40"/>
    <mergeCell ref="G38:I38"/>
    <mergeCell ref="C38:D38"/>
    <mergeCell ref="C39:D39"/>
    <mergeCell ref="H39:I39"/>
    <mergeCell ref="C41:D41"/>
    <mergeCell ref="G41:I41"/>
    <mergeCell ref="C44:D44"/>
    <mergeCell ref="H44:I44"/>
    <mergeCell ref="C51:D51"/>
    <mergeCell ref="H51:I51"/>
    <mergeCell ref="C58:D58"/>
    <mergeCell ref="G58:I58"/>
    <mergeCell ref="C59:D59"/>
    <mergeCell ref="H59:I59"/>
    <mergeCell ref="C60:D60"/>
    <mergeCell ref="H60:I60"/>
    <mergeCell ref="C61:D61"/>
    <mergeCell ref="G61:I61"/>
    <mergeCell ref="C62:D62"/>
    <mergeCell ref="G62:I62"/>
    <mergeCell ref="G33:I33"/>
    <mergeCell ref="C33:D33"/>
    <mergeCell ref="C52:D52"/>
    <mergeCell ref="C49:D49"/>
    <mergeCell ref="G49:I49"/>
    <mergeCell ref="H52:I52"/>
    <mergeCell ref="G50:I50"/>
    <mergeCell ref="C50:D50"/>
    <mergeCell ref="C57:D57"/>
    <mergeCell ref="G57:I57"/>
    <mergeCell ref="C63:D63"/>
    <mergeCell ref="H63:I63"/>
    <mergeCell ref="C64:D64"/>
    <mergeCell ref="H64:I64"/>
    <mergeCell ref="C74:D74"/>
    <mergeCell ref="G74:I74"/>
    <mergeCell ref="A75:A76"/>
    <mergeCell ref="C75:D75"/>
    <mergeCell ref="H75:I75"/>
    <mergeCell ref="C76:D76"/>
    <mergeCell ref="H76:I76"/>
    <mergeCell ref="C65:D65"/>
    <mergeCell ref="G65:I65"/>
    <mergeCell ref="C66:D66"/>
    <mergeCell ref="G66:I66"/>
    <mergeCell ref="C67:D67"/>
    <mergeCell ref="H67:I67"/>
    <mergeCell ref="C68:D68"/>
    <mergeCell ref="H68:I68"/>
    <mergeCell ref="C69:D69"/>
    <mergeCell ref="G69:I69"/>
    <mergeCell ref="C70:D70"/>
    <mergeCell ref="G70:I70"/>
    <mergeCell ref="C71:D71"/>
  </mergeCells>
  <dataValidations disablePrompts="1" count="1">
    <dataValidation type="list" allowBlank="1" showInputMessage="1" showErrorMessage="1" sqref="H5:I5" xr:uid="{BB93D78C-AC5B-4BF7-A3CA-5A845151B6C5}">
      <formula1>"initSPL, requestNo, withSAPNo, withFiles, withECN, withECR"</formula1>
    </dataValidation>
  </dataValidations>
  <pageMargins left="0.78740157499999996" right="0.78740157499999996" top="0.984251969" bottom="0.984251969" header="0.4921259845" footer="0.4921259845"/>
  <pageSetup paperSize="9" scale="85" orientation="landscape" horizontalDpi="4294967293" r:id="rId1"/>
  <headerFooter alignWithMargins="0"/>
  <rowBreaks count="5" manualBreakCount="5">
    <brk id="24" max="16383" man="1"/>
    <brk id="36" max="16383" man="1"/>
    <brk id="48" max="16383" man="1"/>
    <brk id="72" max="9" man="1"/>
    <brk id="8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A7" sqref="A7"/>
    </sheetView>
  </sheetViews>
  <sheetFormatPr baseColWidth="10" defaultColWidth="11.44140625" defaultRowHeight="13.2" x14ac:dyDescent="0.25"/>
  <cols>
    <col min="1" max="1" width="11.5546875" bestFit="1" customWidth="1"/>
    <col min="2" max="2" width="48.5546875" customWidth="1"/>
    <col min="3" max="3" width="12.88671875" bestFit="1" customWidth="1"/>
  </cols>
  <sheetData>
    <row r="1" spans="1:7" ht="22.8" x14ac:dyDescent="0.25">
      <c r="A1" s="350" t="s">
        <v>25</v>
      </c>
      <c r="B1" s="351"/>
      <c r="C1" s="351"/>
      <c r="D1" s="351"/>
      <c r="E1" s="351"/>
      <c r="F1" s="352"/>
      <c r="G1" s="1"/>
    </row>
    <row r="2" spans="1:7" ht="20.25" customHeight="1" x14ac:dyDescent="0.25">
      <c r="A2" s="353"/>
      <c r="B2" s="354"/>
      <c r="C2" s="354"/>
      <c r="D2" s="354"/>
      <c r="E2" s="354"/>
      <c r="F2" s="355"/>
      <c r="G2" s="1"/>
    </row>
    <row r="3" spans="1:7" ht="15.6" x14ac:dyDescent="0.25">
      <c r="A3" s="356"/>
      <c r="B3" s="357"/>
      <c r="C3" s="358"/>
      <c r="D3" s="359"/>
      <c r="E3" s="360"/>
      <c r="F3" s="361"/>
      <c r="G3" s="1"/>
    </row>
    <row r="4" spans="1:7" ht="20.399999999999999" x14ac:dyDescent="0.25">
      <c r="A4" s="9" t="s">
        <v>17</v>
      </c>
      <c r="B4" s="10" t="s">
        <v>20</v>
      </c>
      <c r="C4" s="11" t="s">
        <v>18</v>
      </c>
      <c r="D4" s="12" t="s">
        <v>15</v>
      </c>
      <c r="E4" s="13" t="s">
        <v>14</v>
      </c>
      <c r="F4" s="14" t="s">
        <v>13</v>
      </c>
      <c r="G4" s="1"/>
    </row>
    <row r="5" spans="1:7" ht="20.399999999999999" x14ac:dyDescent="0.35">
      <c r="A5" s="15"/>
      <c r="B5" s="16"/>
      <c r="C5" s="16"/>
      <c r="D5" s="17"/>
      <c r="E5" s="18"/>
      <c r="F5" s="19"/>
      <c r="G5" s="1"/>
    </row>
    <row r="6" spans="1:7" x14ac:dyDescent="0.25">
      <c r="A6" s="20" t="s">
        <v>34</v>
      </c>
      <c r="B6" s="34" t="s">
        <v>23</v>
      </c>
      <c r="C6" s="35" t="s">
        <v>22</v>
      </c>
      <c r="D6" s="36">
        <v>43595</v>
      </c>
      <c r="E6" s="37" t="s">
        <v>24</v>
      </c>
      <c r="F6" s="38" t="s">
        <v>19</v>
      </c>
      <c r="G6" s="1"/>
    </row>
    <row r="7" spans="1:7" x14ac:dyDescent="0.25">
      <c r="A7" s="20"/>
      <c r="B7" s="21"/>
      <c r="C7" s="22"/>
      <c r="D7" s="23"/>
      <c r="E7" s="24"/>
      <c r="F7" s="25"/>
      <c r="G7" s="1"/>
    </row>
    <row r="8" spans="1:7" x14ac:dyDescent="0.25">
      <c r="A8" s="20"/>
      <c r="B8" s="21"/>
      <c r="C8" s="22"/>
      <c r="D8" s="23"/>
      <c r="E8" s="24"/>
      <c r="F8" s="25"/>
      <c r="G8" s="1"/>
    </row>
    <row r="9" spans="1:7" x14ac:dyDescent="0.25">
      <c r="A9" s="20"/>
      <c r="B9" s="21"/>
      <c r="C9" s="22"/>
      <c r="D9" s="23"/>
      <c r="E9" s="24"/>
      <c r="F9" s="25"/>
      <c r="G9" s="1"/>
    </row>
    <row r="10" spans="1:7" x14ac:dyDescent="0.25">
      <c r="A10" s="20"/>
      <c r="B10" s="21"/>
      <c r="C10" s="22"/>
      <c r="D10" s="23"/>
      <c r="E10" s="24"/>
      <c r="F10" s="25"/>
      <c r="G10" s="1"/>
    </row>
    <row r="11" spans="1:7" x14ac:dyDescent="0.25">
      <c r="A11" s="20"/>
      <c r="B11" s="26"/>
      <c r="C11" s="26"/>
      <c r="D11" s="27"/>
      <c r="E11" s="28"/>
      <c r="F11" s="25"/>
      <c r="G11" s="1"/>
    </row>
    <row r="12" spans="1:7" x14ac:dyDescent="0.25">
      <c r="A12" s="20"/>
      <c r="B12" s="26"/>
      <c r="C12" s="26"/>
      <c r="D12" s="27"/>
      <c r="E12" s="28"/>
      <c r="F12" s="25"/>
      <c r="G12" s="1"/>
    </row>
    <row r="13" spans="1:7" x14ac:dyDescent="0.25">
      <c r="A13" s="20"/>
      <c r="B13" s="26"/>
      <c r="C13" s="26"/>
      <c r="D13" s="27"/>
      <c r="E13" s="28"/>
      <c r="F13" s="25"/>
      <c r="G13" s="1"/>
    </row>
    <row r="14" spans="1:7" x14ac:dyDescent="0.25">
      <c r="A14" s="20"/>
      <c r="B14" s="26"/>
      <c r="C14" s="26"/>
      <c r="D14" s="27"/>
      <c r="E14" s="28"/>
      <c r="F14" s="25"/>
      <c r="G14" s="1"/>
    </row>
    <row r="15" spans="1:7" x14ac:dyDescent="0.25">
      <c r="A15" s="20"/>
      <c r="B15" s="26"/>
      <c r="C15" s="26"/>
      <c r="D15" s="27"/>
      <c r="E15" s="28"/>
      <c r="F15" s="25"/>
      <c r="G15" s="1"/>
    </row>
    <row r="16" spans="1:7" ht="13.8" thickBot="1" x14ac:dyDescent="0.3">
      <c r="A16" s="29"/>
      <c r="B16" s="30"/>
      <c r="C16" s="30"/>
      <c r="D16" s="31"/>
      <c r="E16" s="32"/>
      <c r="F16" s="33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</sheetData>
  <mergeCells count="4">
    <mergeCell ref="A1:F1"/>
    <mergeCell ref="A2:F2"/>
    <mergeCell ref="A3:C3"/>
    <mergeCell ref="D3:F3"/>
  </mergeCells>
  <dataValidations disablePrompts="1" count="2">
    <dataValidation type="list" allowBlank="1" showInputMessage="1" showErrorMessage="1" sqref="F7:F16" xr:uid="{00000000-0002-0000-0100-000000000000}">
      <formula1>"draft,verified,released,rejected"</formula1>
    </dataValidation>
    <dataValidation type="list" allowBlank="1" showInputMessage="1" showErrorMessage="1" sqref="F6" xr:uid="{00000000-0002-0000-0100-000001000000}">
      <formula1>"draft,AFR,REV,REL"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/>
  <dimension ref="A1:G32"/>
  <sheetViews>
    <sheetView workbookViewId="0">
      <pane xSplit="1" ySplit="5" topLeftCell="B24" activePane="bottomRight" state="frozen"/>
      <selection pane="topRight" activeCell="B1" sqref="B1"/>
      <selection pane="bottomLeft" activeCell="A6" sqref="A6"/>
      <selection pane="bottomRight" activeCell="B40" sqref="B40"/>
    </sheetView>
  </sheetViews>
  <sheetFormatPr baseColWidth="10" defaultColWidth="11.44140625" defaultRowHeight="14.4" x14ac:dyDescent="0.3"/>
  <cols>
    <col min="1" max="1" width="11.44140625" style="3"/>
    <col min="2" max="2" width="57.109375" style="3" customWidth="1"/>
    <col min="3" max="3" width="11.44140625" style="3"/>
    <col min="4" max="4" width="16.33203125" style="3" customWidth="1"/>
    <col min="5" max="5" width="18.33203125" style="3" customWidth="1"/>
    <col min="6" max="16384" width="11.44140625" style="3"/>
  </cols>
  <sheetData>
    <row r="1" spans="1:7" ht="22.8" x14ac:dyDescent="0.3">
      <c r="A1" s="39"/>
      <c r="B1" s="40" t="s">
        <v>21</v>
      </c>
      <c r="C1" s="40"/>
      <c r="D1" s="40"/>
      <c r="E1" s="40"/>
      <c r="F1" s="41"/>
      <c r="G1" s="1"/>
    </row>
    <row r="2" spans="1:7" ht="15" thickBot="1" x14ac:dyDescent="0.35">
      <c r="A2" s="42"/>
      <c r="B2" s="43" t="s">
        <v>26</v>
      </c>
      <c r="C2" s="44"/>
      <c r="D2" s="45"/>
      <c r="E2" s="45"/>
      <c r="F2" s="46"/>
      <c r="G2" s="1"/>
    </row>
    <row r="3" spans="1:7" ht="26.4" x14ac:dyDescent="0.3">
      <c r="A3" s="47"/>
      <c r="B3" s="48" t="str">
        <f>HYPERLINK("https://hi-dms.de.bosch.com/docushare/dsweb/Services/Document-499983")</f>
        <v>https://hi-dms.de.bosch.com/docushare/dsweb/Services/Document-499983</v>
      </c>
      <c r="C3" s="49" t="s">
        <v>27</v>
      </c>
      <c r="D3" s="50" t="s">
        <v>15</v>
      </c>
      <c r="E3" s="51" t="s">
        <v>14</v>
      </c>
      <c r="F3" s="52" t="s">
        <v>13</v>
      </c>
      <c r="G3" s="1"/>
    </row>
    <row r="4" spans="1:7" ht="23.4" thickBot="1" x14ac:dyDescent="0.35">
      <c r="A4" s="53"/>
      <c r="B4" s="54"/>
      <c r="C4" s="55"/>
      <c r="D4" s="56">
        <f>MAX(D9:D110)</f>
        <v>45968</v>
      </c>
      <c r="E4" s="57" t="str">
        <f>VLOOKUP(D4,D9:F110,2)</f>
        <v>1.08</v>
      </c>
      <c r="F4" s="58" t="str">
        <f>VLOOKUP(D4,D9:F110,3)</f>
        <v>REL</v>
      </c>
      <c r="G4" s="1"/>
    </row>
    <row r="5" spans="1:7" ht="20.100000000000001" customHeight="1" thickBot="1" x14ac:dyDescent="0.35">
      <c r="A5" s="59" t="s">
        <v>17</v>
      </c>
      <c r="B5" s="60" t="s">
        <v>20</v>
      </c>
      <c r="C5" s="61" t="s">
        <v>18</v>
      </c>
      <c r="D5" s="62" t="s">
        <v>15</v>
      </c>
      <c r="E5" s="63" t="s">
        <v>14</v>
      </c>
      <c r="F5" s="64" t="s">
        <v>13</v>
      </c>
      <c r="G5" s="1"/>
    </row>
    <row r="6" spans="1:7" x14ac:dyDescent="0.3">
      <c r="A6" s="65" t="s">
        <v>33</v>
      </c>
      <c r="B6" s="34" t="s">
        <v>31</v>
      </c>
      <c r="C6" s="35" t="s">
        <v>22</v>
      </c>
      <c r="D6" s="36">
        <v>43425</v>
      </c>
      <c r="E6" s="37" t="s">
        <v>24</v>
      </c>
      <c r="F6" s="38" t="s">
        <v>19</v>
      </c>
      <c r="G6" s="1"/>
    </row>
    <row r="7" spans="1:7" x14ac:dyDescent="0.3">
      <c r="A7" s="65" t="s">
        <v>33</v>
      </c>
      <c r="B7" s="34" t="s">
        <v>35</v>
      </c>
      <c r="C7" s="35" t="s">
        <v>22</v>
      </c>
      <c r="D7" s="36">
        <v>43524</v>
      </c>
      <c r="E7" s="37" t="s">
        <v>32</v>
      </c>
      <c r="F7" s="38" t="s">
        <v>19</v>
      </c>
      <c r="G7" s="1"/>
    </row>
    <row r="8" spans="1:7" x14ac:dyDescent="0.3">
      <c r="A8" s="65" t="s">
        <v>33</v>
      </c>
      <c r="B8" s="34" t="s">
        <v>37</v>
      </c>
      <c r="C8" s="35" t="s">
        <v>22</v>
      </c>
      <c r="D8" s="36">
        <v>43601</v>
      </c>
      <c r="E8" s="37" t="s">
        <v>36</v>
      </c>
      <c r="F8" s="38" t="s">
        <v>19</v>
      </c>
      <c r="G8" s="1"/>
    </row>
    <row r="9" spans="1:7" x14ac:dyDescent="0.3">
      <c r="A9" s="65" t="s">
        <v>33</v>
      </c>
      <c r="B9" s="34" t="s">
        <v>40</v>
      </c>
      <c r="C9" s="35" t="s">
        <v>22</v>
      </c>
      <c r="D9" s="36">
        <v>43605</v>
      </c>
      <c r="E9" s="37" t="s">
        <v>38</v>
      </c>
      <c r="F9" s="38" t="s">
        <v>39</v>
      </c>
      <c r="G9" s="1"/>
    </row>
    <row r="10" spans="1:7" x14ac:dyDescent="0.3">
      <c r="A10" s="65" t="s">
        <v>33</v>
      </c>
      <c r="B10" s="34" t="s">
        <v>54</v>
      </c>
      <c r="C10" s="35" t="s">
        <v>22</v>
      </c>
      <c r="D10" s="36">
        <v>43614</v>
      </c>
      <c r="E10" s="37" t="s">
        <v>41</v>
      </c>
      <c r="F10" s="38" t="s">
        <v>39</v>
      </c>
      <c r="G10" s="1"/>
    </row>
    <row r="11" spans="1:7" x14ac:dyDescent="0.3">
      <c r="A11" s="65" t="s">
        <v>33</v>
      </c>
      <c r="B11" s="34" t="s">
        <v>43</v>
      </c>
      <c r="C11" s="35" t="s">
        <v>22</v>
      </c>
      <c r="D11" s="36">
        <v>43657</v>
      </c>
      <c r="E11" s="37" t="s">
        <v>42</v>
      </c>
      <c r="F11" s="38" t="s">
        <v>39</v>
      </c>
      <c r="G11" s="1"/>
    </row>
    <row r="12" spans="1:7" x14ac:dyDescent="0.3">
      <c r="A12" s="65" t="s">
        <v>33</v>
      </c>
      <c r="B12" s="34" t="s">
        <v>47</v>
      </c>
      <c r="C12" s="35" t="s">
        <v>46</v>
      </c>
      <c r="D12" s="36">
        <v>43668</v>
      </c>
      <c r="E12" s="37" t="s">
        <v>44</v>
      </c>
      <c r="F12" s="38" t="s">
        <v>39</v>
      </c>
      <c r="G12" s="1"/>
    </row>
    <row r="13" spans="1:7" x14ac:dyDescent="0.3">
      <c r="A13" s="65" t="s">
        <v>33</v>
      </c>
      <c r="B13" s="34" t="s">
        <v>48</v>
      </c>
      <c r="C13" s="35" t="s">
        <v>22</v>
      </c>
      <c r="D13" s="36">
        <v>43670</v>
      </c>
      <c r="E13" s="37" t="s">
        <v>45</v>
      </c>
      <c r="F13" s="38" t="s">
        <v>39</v>
      </c>
      <c r="G13" s="1"/>
    </row>
    <row r="14" spans="1:7" x14ac:dyDescent="0.3">
      <c r="A14" s="65" t="s">
        <v>33</v>
      </c>
      <c r="B14" s="34" t="s">
        <v>50</v>
      </c>
      <c r="C14" s="35" t="s">
        <v>22</v>
      </c>
      <c r="D14" s="36">
        <v>43690</v>
      </c>
      <c r="E14" s="37" t="s">
        <v>49</v>
      </c>
      <c r="F14" s="38" t="s">
        <v>39</v>
      </c>
      <c r="G14" s="1"/>
    </row>
    <row r="15" spans="1:7" x14ac:dyDescent="0.3">
      <c r="A15" s="65" t="s">
        <v>33</v>
      </c>
      <c r="B15" s="34" t="s">
        <v>53</v>
      </c>
      <c r="C15" s="35" t="s">
        <v>22</v>
      </c>
      <c r="D15" s="36">
        <v>43709</v>
      </c>
      <c r="E15" s="37" t="s">
        <v>52</v>
      </c>
      <c r="F15" s="38" t="s">
        <v>39</v>
      </c>
      <c r="G15" s="1"/>
    </row>
    <row r="16" spans="1:7" ht="27.75" customHeight="1" x14ac:dyDescent="0.3">
      <c r="A16" s="65" t="s">
        <v>33</v>
      </c>
      <c r="B16" s="34" t="s">
        <v>57</v>
      </c>
      <c r="C16" s="35" t="s">
        <v>22</v>
      </c>
      <c r="D16" s="36">
        <v>43746</v>
      </c>
      <c r="E16" s="37" t="s">
        <v>55</v>
      </c>
      <c r="F16" s="38" t="s">
        <v>39</v>
      </c>
      <c r="G16" s="1"/>
    </row>
    <row r="17" spans="1:7" x14ac:dyDescent="0.3">
      <c r="A17" s="65" t="s">
        <v>33</v>
      </c>
      <c r="B17" s="34" t="s">
        <v>58</v>
      </c>
      <c r="C17" s="35" t="s">
        <v>22</v>
      </c>
      <c r="D17" s="36">
        <v>43759</v>
      </c>
      <c r="E17" s="37" t="s">
        <v>59</v>
      </c>
      <c r="F17" s="38" t="s">
        <v>39</v>
      </c>
      <c r="G17" s="1"/>
    </row>
    <row r="18" spans="1:7" x14ac:dyDescent="0.3">
      <c r="A18" s="65" t="s">
        <v>33</v>
      </c>
      <c r="B18" s="34" t="s">
        <v>60</v>
      </c>
      <c r="C18" s="35" t="s">
        <v>22</v>
      </c>
      <c r="D18" s="36">
        <v>43766</v>
      </c>
      <c r="E18" s="37" t="s">
        <v>61</v>
      </c>
      <c r="F18" s="38" t="s">
        <v>39</v>
      </c>
      <c r="G18" s="1"/>
    </row>
    <row r="19" spans="1:7" ht="15" customHeight="1" x14ac:dyDescent="0.3">
      <c r="A19" s="65" t="s">
        <v>33</v>
      </c>
      <c r="B19" s="34" t="s">
        <v>63</v>
      </c>
      <c r="C19" s="35" t="s">
        <v>22</v>
      </c>
      <c r="D19" s="36">
        <v>43782</v>
      </c>
      <c r="E19" s="37" t="s">
        <v>62</v>
      </c>
      <c r="F19" s="38" t="s">
        <v>39</v>
      </c>
      <c r="G19" s="1"/>
    </row>
    <row r="20" spans="1:7" ht="26.4" x14ac:dyDescent="0.3">
      <c r="A20" s="65" t="s">
        <v>33</v>
      </c>
      <c r="B20" s="34" t="s">
        <v>65</v>
      </c>
      <c r="C20" s="35" t="s">
        <v>22</v>
      </c>
      <c r="D20" s="36">
        <v>43801</v>
      </c>
      <c r="E20" s="37" t="s">
        <v>64</v>
      </c>
      <c r="F20" s="38" t="s">
        <v>39</v>
      </c>
      <c r="G20" s="1"/>
    </row>
    <row r="21" spans="1:7" ht="26.4" x14ac:dyDescent="0.3">
      <c r="A21" s="65" t="s">
        <v>33</v>
      </c>
      <c r="B21" s="34" t="s">
        <v>66</v>
      </c>
      <c r="C21" s="35" t="s">
        <v>22</v>
      </c>
      <c r="D21" s="36">
        <v>43872</v>
      </c>
      <c r="E21" s="37" t="s">
        <v>67</v>
      </c>
      <c r="F21" s="38" t="s">
        <v>39</v>
      </c>
      <c r="G21" s="1"/>
    </row>
    <row r="22" spans="1:7" x14ac:dyDescent="0.3">
      <c r="A22" s="20" t="s">
        <v>33</v>
      </c>
      <c r="B22" s="26" t="s">
        <v>68</v>
      </c>
      <c r="C22" s="26" t="s">
        <v>69</v>
      </c>
      <c r="D22" s="27">
        <v>44032</v>
      </c>
      <c r="E22" s="28" t="s">
        <v>70</v>
      </c>
      <c r="F22" s="25" t="s">
        <v>39</v>
      </c>
      <c r="G22" s="1"/>
    </row>
    <row r="23" spans="1:7" x14ac:dyDescent="0.3">
      <c r="A23" s="20" t="s">
        <v>33</v>
      </c>
      <c r="B23" s="21" t="s">
        <v>72</v>
      </c>
      <c r="C23" s="22" t="s">
        <v>22</v>
      </c>
      <c r="D23" s="23">
        <v>44032</v>
      </c>
      <c r="E23" s="24" t="s">
        <v>71</v>
      </c>
      <c r="F23" s="25" t="s">
        <v>39</v>
      </c>
      <c r="G23" s="1"/>
    </row>
    <row r="24" spans="1:7" ht="26.4" x14ac:dyDescent="0.3">
      <c r="A24" s="20" t="s">
        <v>33</v>
      </c>
      <c r="B24" s="21" t="s">
        <v>75</v>
      </c>
      <c r="C24" s="22" t="s">
        <v>22</v>
      </c>
      <c r="D24" s="23">
        <v>44342</v>
      </c>
      <c r="E24" s="24" t="s">
        <v>73</v>
      </c>
      <c r="F24" s="25" t="s">
        <v>74</v>
      </c>
      <c r="G24" s="1"/>
    </row>
    <row r="25" spans="1:7" x14ac:dyDescent="0.3">
      <c r="A25" s="20" t="s">
        <v>33</v>
      </c>
      <c r="B25" s="21" t="s">
        <v>78</v>
      </c>
      <c r="C25" s="22" t="s">
        <v>22</v>
      </c>
      <c r="D25" s="23">
        <v>44636</v>
      </c>
      <c r="E25" s="67" t="s">
        <v>79</v>
      </c>
      <c r="F25" s="25" t="s">
        <v>74</v>
      </c>
      <c r="G25" s="1"/>
    </row>
    <row r="26" spans="1:7" x14ac:dyDescent="0.3">
      <c r="A26" s="20" t="s">
        <v>33</v>
      </c>
      <c r="B26" s="21" t="s">
        <v>85</v>
      </c>
      <c r="C26" s="22" t="s">
        <v>22</v>
      </c>
      <c r="D26" s="23">
        <v>44637</v>
      </c>
      <c r="E26" s="67" t="s">
        <v>84</v>
      </c>
      <c r="F26" s="25" t="s">
        <v>74</v>
      </c>
      <c r="G26" s="1"/>
    </row>
    <row r="27" spans="1:7" x14ac:dyDescent="0.3">
      <c r="A27" s="20" t="s">
        <v>33</v>
      </c>
      <c r="B27" s="21" t="s">
        <v>87</v>
      </c>
      <c r="C27" s="22" t="s">
        <v>22</v>
      </c>
      <c r="D27" s="23">
        <v>44650</v>
      </c>
      <c r="E27" s="67" t="s">
        <v>86</v>
      </c>
      <c r="F27" s="25" t="s">
        <v>74</v>
      </c>
      <c r="G27" s="1"/>
    </row>
    <row r="28" spans="1:7" x14ac:dyDescent="0.3">
      <c r="A28" s="20" t="s">
        <v>33</v>
      </c>
      <c r="B28" s="21" t="s">
        <v>90</v>
      </c>
      <c r="C28" s="22" t="s">
        <v>89</v>
      </c>
      <c r="D28" s="23">
        <v>44945</v>
      </c>
      <c r="E28" s="67" t="s">
        <v>88</v>
      </c>
      <c r="F28" s="25" t="s">
        <v>74</v>
      </c>
      <c r="G28" s="1"/>
    </row>
    <row r="29" spans="1:7" x14ac:dyDescent="0.3">
      <c r="A29" s="20" t="s">
        <v>170</v>
      </c>
      <c r="B29" s="21" t="s">
        <v>171</v>
      </c>
      <c r="C29" s="22" t="s">
        <v>69</v>
      </c>
      <c r="D29" s="23">
        <v>45461</v>
      </c>
      <c r="E29" s="67">
        <v>1.05</v>
      </c>
      <c r="F29" s="25" t="s">
        <v>74</v>
      </c>
    </row>
    <row r="30" spans="1:7" ht="39.6" x14ac:dyDescent="0.3">
      <c r="A30" s="20" t="s">
        <v>33</v>
      </c>
      <c r="B30" s="21" t="s">
        <v>182</v>
      </c>
      <c r="C30" s="22" t="s">
        <v>69</v>
      </c>
      <c r="D30" s="23">
        <v>45566</v>
      </c>
      <c r="E30" s="67">
        <v>1.06</v>
      </c>
      <c r="F30" s="25" t="s">
        <v>74</v>
      </c>
    </row>
    <row r="31" spans="1:7" x14ac:dyDescent="0.3">
      <c r="A31" s="20" t="s">
        <v>33</v>
      </c>
      <c r="B31" s="21" t="s">
        <v>183</v>
      </c>
      <c r="C31" s="22" t="s">
        <v>69</v>
      </c>
      <c r="D31" s="23">
        <v>45715</v>
      </c>
      <c r="E31" s="67">
        <v>1.07</v>
      </c>
      <c r="F31" s="25" t="s">
        <v>74</v>
      </c>
    </row>
    <row r="32" spans="1:7" x14ac:dyDescent="0.3">
      <c r="A32" s="232" t="s">
        <v>33</v>
      </c>
      <c r="B32" s="21" t="s">
        <v>190</v>
      </c>
      <c r="C32" s="22" t="s">
        <v>69</v>
      </c>
      <c r="D32" s="23">
        <v>45968</v>
      </c>
      <c r="E32" s="67" t="s">
        <v>191</v>
      </c>
      <c r="F32" s="25" t="s">
        <v>74</v>
      </c>
    </row>
  </sheetData>
  <dataValidations count="1">
    <dataValidation type="list" allowBlank="1" showInputMessage="1" showErrorMessage="1" sqref="F6:F28" xr:uid="{00000000-0002-0000-0200-000000000000}">
      <formula1>"draft,AFR,REV,REL"</formula1>
    </dataValidation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SPL</vt:lpstr>
      <vt:lpstr>History</vt:lpstr>
      <vt:lpstr>Template_History</vt:lpstr>
      <vt:lpstr>SPL!Druckbereich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bai2fr</dc:creator>
  <cp:lastModifiedBy>Nisharani C Paramba (MS/ECR4-XC)</cp:lastModifiedBy>
  <cp:lastPrinted>2015-04-16T07:31:22Z</cp:lastPrinted>
  <dcterms:created xsi:type="dcterms:W3CDTF">2012-12-13T10:51:01Z</dcterms:created>
  <dcterms:modified xsi:type="dcterms:W3CDTF">2025-11-19T11:36:44Z</dcterms:modified>
</cp:coreProperties>
</file>